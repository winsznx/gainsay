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2"/>
    <sheet name="Gainsay drivers · Gainsay fixed" sheetId="2" state="visible" r:id="rId3"/>
    <sheet name="Gainsay drivers · Gainsay deman" sheetId="3" state="visible" r:id="rId4"/>
    <sheet name="Gainsay drivers · Gainsay prici" sheetId="4" state="visible" r:id="rId5"/>
    <sheet name="Gainsay drivers · Gainsay data-" sheetId="5" state="visible" r:id="rId6"/>
    <sheet name="Gainsay economics · Gainsay ope" sheetId="6" state="visible" r:id="rId7"/>
    <sheet name="Gainsay economics · Gainsay dat" sheetId="7" state="visible" r:id="rId8"/>
    <sheet name="Gainsay business plan · Gainsay" sheetId="8" state="visible" r:id="rId9"/>
    <sheet name="Model inputs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<sst xmlns="http://schemas.openxmlformats.org/spreadsheetml/2006/main" count="1348" uniqueCount="439">
  <si>
    <t xml:space="preserve">Gainsay — revised business plan</t>
  </si>
  <si>
    <t xml:space="preserve">Main Scenario</t>
  </si>
  <si>
    <t xml:space="preserve">Forecast</t>
  </si>
  <si>
    <t xml:space="preserve">October 2026–December 2027</t>
  </si>
  <si>
    <t xml:space="preserve">Input policy</t>
  </si>
  <si>
    <t xml:space="preserve">All original input values retained; new assumptions are explicitly labeled.</t>
  </si>
  <si>
    <t xml:space="preserve">Monthly cash basis</t>
  </si>
  <si>
    <t xml:space="preserve">Opening cash minus launch cost, then monthly result; data fee reserved monthly.</t>
  </si>
  <si>
    <t xml:space="preserve">Annual-upfront cash basis</t>
  </si>
  <si>
    <t xml:space="preserve">Original Ending cash row pays data fee upfront each October. Do not treat monthly reserves as actual installment terms.</t>
  </si>
  <si>
    <t xml:space="preserve">Founder draw</t>
  </si>
  <si>
    <t xml:space="preserve">Included in cash costs; not accounting salary or profit.</t>
  </si>
  <si>
    <t xml:space="preserve">Raised API access cost</t>
  </si>
  <si>
    <t xml:space="preserve">Unquoted. $0 is an unpriced placeholder, not free access. Incremental recurring cost starts at first quota crossing; do not double-count an upgrade bundled into the data agreement.</t>
  </si>
  <si>
    <t xml:space="preserve">Conservative / measured API</t>
  </si>
  <si>
    <t xml:space="preserve">2 / 0.8 calls per citation. Mata ECF 21: about 13 calls / 16 citations = 0.8125; use 0.8 as the requested rounded case, not a universal benchmark.</t>
  </si>
  <si>
    <t xml:space="preserve">Quota calculation</t>
  </si>
  <si>
    <t xml:space="preserve">Monthly check calls / 30.4 plus daily docket polls. Default 125/day; hour/minute and burst limits can bind earlier. Commercial permission is separate from throughput.</t>
  </si>
  <si>
    <t xml:space="preserve">Cash correction</t>
  </si>
  <si>
    <t xml:space="preserve">First negative June 2027 (-$29.89); lowest July (-$53.20); first positive monthly result August 2027.</t>
  </si>
  <si>
    <t xml:space="preserve">Loss before first positive month</t>
  </si>
  <si>
    <t xml:space="preserve">$4,553.20; opening cash after launch is $4,500.</t>
  </si>
  <si>
    <t xml:space="preserve">Cash buffer</t>
  </si>
  <si>
    <t xml:space="preserve">Three months of $1,010.60 fixed budget = $3,031.80. Minimum monthly-reserved opening cash $8,085; rounded recommendation $8,500. Existing opening input stays $5,000.</t>
  </si>
  <si>
    <t xml:space="preserve">Annual-payment recommendation</t>
  </si>
  <si>
    <t xml:space="preserve">Minimum $10,248.41; rounded recommendation $10,500. Monthly closing balances only; intra-month timing requires additional allowance.</t>
  </si>
  <si>
    <t xml:space="preserve">Fee test $0</t>
  </si>
  <si>
    <t xml:space="preserve">30 fixed-budget dockets; first positive May 2027; lowest April 2027, $2,074.28. Sensitivity only—not free commercial permission.</t>
  </si>
  <si>
    <t xml:space="preserve">Fee test $3,000</t>
  </si>
  <si>
    <t xml:space="preserve">39 dockets; first positive August 2027; lowest July 2027, -$53.20.</t>
  </si>
  <si>
    <t xml:space="preserve">Fee test $10,000</t>
  </si>
  <si>
    <t xml:space="preserve">62 fixed-budget dockets; no positive month through Dec 2027; lowest Dec 2027, -$7,639.26. Contractor-inclusive no-brief threshold: 77 dockets.</t>
  </si>
  <si>
    <t xml:space="preserve">39-docket API reconciliation</t>
  </si>
  <si>
    <t xml:space="preserve">258.08/day excludes briefs; with 10 brief checks/month the count is 281.11/day.</t>
  </si>
  <si>
    <t xml:space="preserve">Default capacity crossing</t>
  </si>
  <si>
    <t xml:space="preserve">Conservative January 2027; measured July 2027 (125.09/day).</t>
  </si>
  <si>
    <t xml:space="preserve">Uncertainty</t>
  </si>
  <si>
    <t xml:space="preserve">Annual data fee unquoted. Starting cash/living costs, customer demand, data coverage, paid-document retrieval, insurance, taxes, and production permissions require confirmation.</t>
  </si>
  <si>
    <t xml:space="preserve">Workbook checks</t>
  </si>
  <si>
    <t xml:space="preserve">Formula-linked model exported from native saved tables. Recalculation and input-response checks accompany delivery.</t>
  </si>
  <si>
    <t xml:space="preserve">Sources</t>
  </si>
  <si>
    <t xml:space="preserve">Founder-supplied product and costs; Free Law Project allowed API usage and account quota documentation.</t>
  </si>
  <si>
    <t xml:space="preserve">Commercial terms</t>
  </si>
  <si>
    <t xml:space="preserve">https://free.law/membership/allowed-api-usage/</t>
  </si>
  <si>
    <t xml:space="preserve">Quota documentation</t>
  </si>
  <si>
    <t xml:space="preserve">https://wiki.free.law/c/courtlistener/help/api/rest/v4/api-usage</t>
  </si>
  <si>
    <t xml:space="preserve">Gainsay drivers · Gainsay fixed assumptions</t>
  </si>
  <si>
    <t xml:space="preserve">Financial model (3 pages) · Main Scenario</t>
  </si>
  <si>
    <t xml:space="preserve">Variable / dimension</t>
  </si>
  <si>
    <t xml:space="preserve">Value</t>
  </si>
  <si>
    <t xml:space="preserve">Claude cost per citation</t>
  </si>
  <si>
    <t xml:space="preserve">Docket monthly price</t>
  </si>
  <si>
    <t xml:space="preserve">Brief price</t>
  </si>
  <si>
    <t xml:space="preserve">New filings per docket</t>
  </si>
  <si>
    <t xml:space="preserve">Citations per paid filing</t>
  </si>
  <si>
    <t xml:space="preserve">Citations per free check</t>
  </si>
  <si>
    <t xml:space="preserve">Global free checks per month</t>
  </si>
  <si>
    <t xml:space="preserve">API calls per citation</t>
  </si>
  <si>
    <t xml:space="preserve">Daily default API quota</t>
  </si>
  <si>
    <t xml:space="preserve">Poll calls per docket per day</t>
  </si>
  <si>
    <t xml:space="preserve">Hosting per month</t>
  </si>
  <si>
    <t xml:space="preserve">Tools per month</t>
  </si>
  <si>
    <t xml:space="preserve">Legal and insurance reserve per month</t>
  </si>
  <si>
    <t xml:space="preserve">Marketing per month</t>
  </si>
  <si>
    <t xml:space="preserve">Founder draw per month</t>
  </si>
  <si>
    <t xml:space="preserve">Annual data fee placeholder</t>
  </si>
  <si>
    <t xml:space="preserve">Opening cash placeholder</t>
  </si>
  <si>
    <t xml:space="preserve">Launch cost</t>
  </si>
  <si>
    <t xml:space="preserve">Payment percentage</t>
  </si>
  <si>
    <t xml:space="preserve">Payment fee per transaction</t>
  </si>
  <si>
    <t xml:space="preserve">Human review minutes per filing</t>
  </si>
  <si>
    <t xml:space="preserve">Founder review hours per month</t>
  </si>
  <si>
    <t xml:space="preserve">Contractor docket trigger</t>
  </si>
  <si>
    <t xml:space="preserve">Contractor per month</t>
  </si>
  <si>
    <t xml:space="preserve">Measured API calls per citation</t>
  </si>
  <si>
    <t xml:space="preserve">Raised API monthly step cost unquoted</t>
  </si>
  <si>
    <t xml:space="preserve">Cash buffer months</t>
  </si>
  <si>
    <t xml:space="preserve">Planning days per month</t>
  </si>
  <si>
    <t xml:space="preserve">Opening cash rounding increment</t>
  </si>
  <si>
    <t xml:space="preserve">Observed Mata API calls</t>
  </si>
  <si>
    <t xml:space="preserve">Observed Mata citations</t>
  </si>
  <si>
    <t xml:space="preserve">Gainsay drivers · Gainsay demand assumptions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</si>
  <si>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</si>
  <si>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</si>
  <si>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</si>
  <si>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</si>
  <si>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</si>
  <si>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</si>
  <si>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</si>
  <si>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</si>
  <si>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</si>
  <si>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</si>
  <si>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</si>
  <si>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</si>
  <si>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</si>
  <si>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</si>
  <si>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</si>
  <si>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New dockets per month</t>
  </si>
  <si>
    <t xml:space="preserve">Monthly acquisition growth</t>
  </si>
  <si>
    <t xml:space="preserve">Monthly docket churn</t>
  </si>
  <si>
    <t xml:space="preserve">Brief checks sold</t>
  </si>
  <si>
    <t xml:space="preserve">Monthly brief demand growth</t>
  </si>
  <si>
    <t xml:space="preserve">Gainsay drivers · Gainsay pricing economics</t>
  </si>
  <si>
    <t xml:space="preserve">AI cost per average filing</t>
  </si>
  <si>
    <t xml:space="preserve">AI cost at 15 citations</t>
  </si>
  <si>
    <t xml:space="preserve">AI cost at 50 citations</t>
  </si>
  <si>
    <t xml:space="preserve">Docket contribution per month</t>
  </si>
  <si>
    <t xml:space="preserve">Brief contribution</t>
  </si>
  <si>
    <t xml:space="preserve">Fixed monthly cash budget</t>
  </si>
  <si>
    <t xml:space="preserve">Dockets needed for fixed cash budget</t>
  </si>
  <si>
    <t xml:space="preserve">Observed Mata calls per citation</t>
  </si>
  <si>
    <t xml:space="preserve">Cash after launch</t>
  </si>
  <si>
    <t xml:space="preserve">Lowest monthly-reserved cash</t>
  </si>
  <si>
    <t xml:space="preserve">Losses before first positive month</t>
  </si>
  <si>
    <t xml:space="preserve">First positive month</t>
  </si>
  <si>
    <t xml:space="preserve">First negative cash month monthly reserved</t>
  </si>
  <si>
    <t xml:space="preserve">Lowest cash month monthly reserved</t>
  </si>
  <si>
    <t xml:space="preserve">First API quota month conservative</t>
  </si>
  <si>
    <t xml:space="preserve">First API quota month measured</t>
  </si>
  <si>
    <t xml:space="preserve">Three month fixed budget buffer</t>
  </si>
  <si>
    <t xml:space="preserve">Minimum opening cash monthly reserved</t>
  </si>
  <si>
    <t xml:space="preserve">Recommended opening cash monthly reserved</t>
  </si>
  <si>
    <t xml:space="preserve">Minimum opening cash annual upfront</t>
  </si>
  <si>
    <t xml:space="preserve">Recommended opening cash annual upfront</t>
  </si>
  <si>
    <t xml:space="preserve">API calls at 39 dockets with opening brief volume</t>
  </si>
  <si>
    <t xml:space="preserve">API calls at 39 dockets excluding brief checks</t>
  </si>
  <si>
    <t xml:space="preserve">Gainsay drivers · Gainsay data-fee tests</t>
  </si>
  <si>
    <t xml:space="preserve">Test annual data fee</t>
  </si>
  <si>
    <t xml:space="preserve">Test fixed monthly cash budget</t>
  </si>
  <si>
    <t xml:space="preserve">Test dockets needed for fixed cash budget</t>
  </si>
  <si>
    <t xml:space="preserve">Test dockets including contractor trigger</t>
  </si>
  <si>
    <t xml:space="preserve">Test first positive month</t>
  </si>
  <si>
    <t xml:space="preserve">Test lowest cash</t>
  </si>
  <si>
    <t xml:space="preserve">Test lowest cash month</t>
  </si>
  <si>
    <t xml:space="preserve">Test recommended opening cash</t>
  </si>
  <si>
    <t xml:space="preserve">Test break-even status</t>
  </si>
  <si>
    <t xml:space="preserve">High fee stress</t>
  </si>
  <si>
    <t xml:space="preserve">Illustrative fee</t>
  </si>
  <si>
    <t xml:space="preserve">No fee sensitivity only</t>
  </si>
  <si>
    <t xml:space="preserve">Gainsay economics · Gainsay operating forecast</t>
  </si>
  <si>
    <t xml:space="preserve">Active dockets</t>
  </si>
  <si>
    <t xml:space="preserve">Gainsay revenue</t>
  </si>
  <si>
    <t xml:space="preserve">Card fees</t>
  </si>
  <si>
    <t xml:space="preserve">Claude cost</t>
  </si>
  <si>
    <t xml:space="preserve">Fixed costs monthly reserved</t>
  </si>
  <si>
    <t xml:space="preserve">Monthly result</t>
  </si>
  <si>
    <t xml:space="preserve">Cumulative cash monthly reserved</t>
  </si>
  <si>
    <t xml:space="preserve">Opening watched dockets</t>
  </si>
  <si>
    <t xml:space="preserve">Churned dockets</t>
  </si>
  <si>
    <t xml:space="preserve">Ending watched dockets</t>
  </si>
  <si>
    <t xml:space="preserve">Docket MRR</t>
  </si>
  <si>
    <t xml:space="preserve">Brief revenue</t>
  </si>
  <si>
    <t xml:space="preserve">Docket filings checked</t>
  </si>
  <si>
    <t xml:space="preserve">Free checks delivered</t>
  </si>
  <si>
    <t xml:space="preserve">Paid citations checked</t>
  </si>
  <si>
    <t xml:space="preserve">Free citations checked</t>
  </si>
  <si>
    <t xml:space="preserve">Paid AI cost</t>
  </si>
  <si>
    <t xml:space="preserve">Free AI cost</t>
  </si>
  <si>
    <t xml:space="preserve">Payment fees</t>
  </si>
  <si>
    <t xml:space="preserve">Data expense</t>
  </si>
  <si>
    <t xml:space="preserve">Gross profit</t>
  </si>
  <si>
    <t xml:space="preserve">Contractor support cost</t>
  </si>
  <si>
    <t xml:space="preserve">Operating expense</t>
  </si>
  <si>
    <t xml:space="preserve">Operating profit</t>
  </si>
  <si>
    <t xml:space="preserve">Data cash payment</t>
  </si>
  <si>
    <t xml:space="preserve">Founder withdrawals</t>
  </si>
  <si>
    <t xml:space="preserve">Net cash flow</t>
  </si>
  <si>
    <t xml:space="preserve">Ending cash</t>
  </si>
  <si>
    <t xml:space="preserve">API calls required</t>
  </si>
  <si>
    <t xml:space="preserve">Default API capacity</t>
  </si>
  <si>
    <t xml:space="preserve">API capacity shortfall</t>
  </si>
  <si>
    <t xml:space="preserve">Human review hours</t>
  </si>
  <si>
    <t xml:space="preserve">Founder review capacity gap</t>
  </si>
  <si>
    <t xml:space="preserve">Founder headcount</t>
  </si>
  <si>
    <t xml:space="preserve">ARR run rate</t>
  </si>
  <si>
    <t xml:space="preserve">Gross margin</t>
  </si>
  <si>
    <t xml:space="preserve">Projection month number</t>
  </si>
  <si>
    <t xml:space="preserve">API calls per day conservative</t>
  </si>
  <si>
    <t xml:space="preserve">API calls per day measured</t>
  </si>
  <si>
    <t xml:space="preserve">API quota exceeded conservative</t>
  </si>
  <si>
    <t xml:space="preserve">API quota exceeded measured</t>
  </si>
  <si>
    <t xml:space="preserve">Raised access active conservative</t>
  </si>
  <si>
    <t xml:space="preserve">Raised access active measured</t>
  </si>
  <si>
    <t xml:space="preserve">Raised API access cost conservative</t>
  </si>
  <si>
    <t xml:space="preserve">Raised API access cost measured</t>
  </si>
  <si>
    <t xml:space="preserve">Monthly result measured API</t>
  </si>
  <si>
    <t xml:space="preserve">Cumulative cash measured API</t>
  </si>
  <si>
    <t xml:space="preserve">Three month cash floor</t>
  </si>
  <si>
    <t xml:space="preserve">Monthly reserve buffer shortfall</t>
  </si>
  <si>
    <t xml:space="preserve">Cumulative cash at recommended opening</t>
  </si>
  <si>
    <t xml:space="preserve">Recommended cash buffer check</t>
  </si>
  <si>
    <t xml:space="preserve">Gainsay economics · Gainsay data-fee cash sensitivity</t>
  </si>
  <si>
    <t xml:space="preserve">Fee-test ending cash</t>
  </si>
  <si>
    <t xml:space="preserve">Additional cash needed to avoid negative cash</t>
  </si>
  <si>
    <t xml:space="preserve">Fee-test monthly result</t>
  </si>
  <si>
    <t xml:space="preserve">Fee-test cash monthly reserved</t>
  </si>
  <si>
    <t xml:space="preserve">Gainsay business plan · Gainsay scenario comparison</t>
  </si>
  <si>
    <t xml:space="preserve">2027-12 &gt; Gainsay growth</t>
  </si>
  <si>
    <t xml:space="preserve">2027-12 &gt; Gainsay downside</t>
  </si>
  <si>
    <t xml:space="preserve">2027 forecast revenue</t>
  </si>
  <si>
    <t xml:space="preserve">Model inputs</t>
  </si>
  <si>
    <t xml:space="preserve">Integration values are aggregated snapshots; raw source records are not included.</t>
  </si>
  <si>
    <t xml:space="preserve">Variables</t>
  </si>
  <si>
    <t xml:space="preserve">Variable / segment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</si>
  <si>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</si>
  <si>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</si>
  <si>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</si>
  <si>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</si>
  <si>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</si>
  <si>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</si>
  <si>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</si>
  <si>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</si>
  <si>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</si>
  <si>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Active dockets · Gainsay economics · Gainsay operating forecast · Main Scenario</t>
  </si>
  <si>
    <t xml:space="preserve">Active dockets · Gainsay downside</t>
  </si>
  <si>
    <t xml:space="preserve">Active dockets · Gainsay growth</t>
  </si>
  <si>
    <t xml:space="preserve">Annual data fee placeholder · Gainsay drivers · Gainsay pricing economics</t>
  </si>
  <si>
    <t xml:space="preserve">Annual data fee placeholder · Gainsay economics · Gainsay operating forecast</t>
  </si>
  <si>
    <t xml:space="preserve">API calls per citation · Gainsay drivers · Gainsay pricing economics · Main Scenario</t>
  </si>
  <si>
    <t xml:space="preserve">API calls per citation · Gainsay economics · Gainsay operating forecast · Main Scenario</t>
  </si>
  <si>
    <t xml:space="preserve">API calls per citation · Gainsay downside</t>
  </si>
  <si>
    <t xml:space="preserve">API calls per citation · Gainsay growth</t>
  </si>
  <si>
    <t xml:space="preserve">API quota exceeded conservative · Gainsay drivers · Gainsay pricing economics</t>
  </si>
  <si>
    <t xml:space="preserve">API quota exceeded measured · Gainsay drivers · Gainsay pricing economics</t>
  </si>
  <si>
    <t xml:space="preserve">Brief checks sold · Gainsay drivers · Gainsay demand assumptions</t>
  </si>
  <si>
    <t xml:space="preserve">Brief price · Gainsay drivers · Gainsay pricing economics</t>
  </si>
  <si>
    <t xml:space="preserve">Brief price · Gainsay economics · Gainsay operating forecast</t>
  </si>
  <si>
    <t xml:space="preserve">Brief revenue · Gainsay economics · Gainsay operating forecast · Main Scenario</t>
  </si>
  <si>
    <t xml:space="preserve">Brief revenue · Gainsay downside</t>
  </si>
  <si>
    <t xml:space="preserve">Brief revenue · Gainsay growth</t>
  </si>
  <si>
    <t xml:space="preserve">Cash buffer months · Gainsay drivers · Gainsay pricing economics</t>
  </si>
  <si>
    <t xml:space="preserve">Cash buffer months · Gainsay economics · Gainsay operating forecast</t>
  </si>
  <si>
    <t xml:space="preserve">Citations per free check · Gainsay drivers · Gainsay pricing economics</t>
  </si>
  <si>
    <t xml:space="preserve">Citations per free check · Gainsay economics · Gainsay operating forecast</t>
  </si>
  <si>
    <t xml:space="preserve">Citations per paid filing · Gainsay drivers · Gainsay pricing economics</t>
  </si>
  <si>
    <t xml:space="preserve">Citations per paid filing · Gainsay economics · Gainsay operating forecast</t>
  </si>
  <si>
    <t xml:space="preserve">Claude cost per citation · Gainsay drivers · Gainsay pricing economics</t>
  </si>
  <si>
    <t xml:space="preserve">Claude cost per citation · Gainsay economics · Gainsay operating forecast</t>
  </si>
  <si>
    <t xml:space="preserve">Cumulative cash monthly reserved · Gainsay drivers · Gainsay pricing economics</t>
  </si>
  <si>
    <t xml:space="preserve">Docket monthly price · Gainsay drivers · Gainsay pricing economics · Main Scenario</t>
  </si>
  <si>
    <t xml:space="preserve">Docket monthly price · Gainsay economics · Gainsay operating forecast · Main Scenario</t>
  </si>
  <si>
    <t xml:space="preserve">Docket monthly price · Gainsay downside</t>
  </si>
  <si>
    <t xml:space="preserve">Docket monthly price · Gainsay growth</t>
  </si>
  <si>
    <t xml:space="preserve">Ending cash · Gainsay drivers · Gainsay pricing economics · Main Scenario</t>
  </si>
  <si>
    <t xml:space="preserve">Ending cash · Gainsay downside</t>
  </si>
  <si>
    <t xml:space="preserve">Ending cash · Gainsay growth</t>
  </si>
  <si>
    <t xml:space="preserve">Ending watched dockets · Gainsay economics · Gainsay operating forecast</t>
  </si>
  <si>
    <t xml:space="preserve">Fee-test cash monthly reserved &gt; High fee stress</t>
  </si>
  <si>
    <t xml:space="preserve">Fee-test cash monthly reserved &gt; Illustrative fee</t>
  </si>
  <si>
    <t xml:space="preserve">Fee-test cash monthly reserved &gt; No fee sensitivity only</t>
  </si>
  <si>
    <t xml:space="preserve">Fee-test monthly result &gt; High fee stress</t>
  </si>
  <si>
    <t xml:space="preserve">Fee-test monthly result &gt; Illustrative fee</t>
  </si>
  <si>
    <t xml:space="preserve">Fee-test monthly result &gt; No fee sensitivity only</t>
  </si>
  <si>
    <t xml:space="preserve">Fixed monthly cash budget · Gainsay drivers · Gainsay pricing economics</t>
  </si>
  <si>
    <t xml:space="preserve">Fixed monthly cash budget · Gainsay economics · Gainsay operating forecast</t>
  </si>
  <si>
    <t xml:space="preserve">Founder draw per month · Gainsay drivers · Gainsay pricing economics</t>
  </si>
  <si>
    <t xml:space="preserve">Founder draw per month · Gainsay economics · Gainsay operating forecast</t>
  </si>
  <si>
    <t xml:space="preserve">Free citations checked · Gainsay economics · Gainsay operating forecast · Main Scenario</t>
  </si>
  <si>
    <t xml:space="preserve">Free citations checked · Gainsay downside</t>
  </si>
  <si>
    <t xml:space="preserve">Free citations checked · Gainsay growth</t>
  </si>
  <si>
    <t xml:space="preserve">Global free checks per month · Gainsay drivers · Gainsay pricing economics</t>
  </si>
  <si>
    <t xml:space="preserve">Global free checks per month · Gainsay economics · Gainsay operating forecast</t>
  </si>
  <si>
    <t xml:space="preserve">Gross profit · Gainsay economics · Gainsay operating forecast · Main Scenario</t>
  </si>
  <si>
    <t xml:space="preserve">Gross profit · Gainsay downside</t>
  </si>
  <si>
    <t xml:space="preserve">Gross profit · Gainsay growth</t>
  </si>
  <si>
    <t xml:space="preserve">Hosting per month · Gainsay drivers · Gainsay pricing economics</t>
  </si>
  <si>
    <t xml:space="preserve">Hosting per month · Gainsay economics · Gainsay operating forecast</t>
  </si>
  <si>
    <t xml:space="preserve">Launch cost · Gainsay drivers · Gainsay pricing economics</t>
  </si>
  <si>
    <t xml:space="preserve">Launch cost · Gainsay economics · Gainsay operating forecast</t>
  </si>
  <si>
    <t xml:space="preserve">Legal and insurance reserve per month · Gainsay drivers · Gainsay pricing economics</t>
  </si>
  <si>
    <t xml:space="preserve">Legal and insurance reserve per month · Gainsay economics · Gainsay operating forecast</t>
  </si>
  <si>
    <t xml:space="preserve">Marketing per month · Gainsay drivers · Gainsay pricing economics</t>
  </si>
  <si>
    <t xml:space="preserve">Marketing per month · Gainsay economics · Gainsay operating forecast</t>
  </si>
  <si>
    <t xml:space="preserve">Measured API calls per citation · Gainsay economics · Gainsay operating forecast</t>
  </si>
  <si>
    <t xml:space="preserve">Monthly result · Gainsay drivers · Gainsay pricing economics</t>
  </si>
  <si>
    <t xml:space="preserve">Net cash flow · Gainsay economics · Gainsay operating forecast · Main Scenario</t>
  </si>
  <si>
    <t xml:space="preserve">Net cash flow · Gainsay downside</t>
  </si>
  <si>
    <t xml:space="preserve">Net cash flow · Gainsay growth</t>
  </si>
  <si>
    <t xml:space="preserve">New filings per docket · Gainsay drivers · Gainsay pricing economics</t>
  </si>
  <si>
    <t xml:space="preserve">New filings per docket · Gainsay economics · Gainsay operating forecast</t>
  </si>
  <si>
    <t xml:space="preserve">Opening cash placeholder · Gainsay drivers · Gainsay pricing economics</t>
  </si>
  <si>
    <t xml:space="preserve">Opening cash placeholder · Gainsay economics · Gainsay operating forecast</t>
  </si>
  <si>
    <t xml:space="preserve">Operating expense · Gainsay economics · Gainsay operating forecast · Main Scenario</t>
  </si>
  <si>
    <t xml:space="preserve">Operating expense · Gainsay downside</t>
  </si>
  <si>
    <t xml:space="preserve">Operating expense · Gainsay growth</t>
  </si>
  <si>
    <t xml:space="preserve">Paid citations checked · Gainsay economics · Gainsay operating forecast · Main Scenario</t>
  </si>
  <si>
    <t xml:space="preserve">Paid citations checked · Gainsay downside</t>
  </si>
  <si>
    <t xml:space="preserve">Paid citations checked · Gainsay growth</t>
  </si>
  <si>
    <t xml:space="preserve">Payment fee per transaction · Gainsay drivers · Gainsay pricing economics</t>
  </si>
  <si>
    <t xml:space="preserve">Payment fee per transaction · Gainsay economics · Gainsay operating forecast</t>
  </si>
  <si>
    <t xml:space="preserve">Payment percentage · Gainsay drivers · Gainsay pricing economics</t>
  </si>
  <si>
    <t xml:space="preserve">Payment percentage · Gainsay economics · Gainsay operating forecast</t>
  </si>
  <si>
    <t xml:space="preserve">Planning days per month · Gainsay drivers · Gainsay pricing economics</t>
  </si>
  <si>
    <t xml:space="preserve">Planning days per month · Gainsay economics · Gainsay operating forecast</t>
  </si>
  <si>
    <t xml:space="preserve">Poll calls per docket per day · Gainsay drivers · Gainsay pricing economics · Main Scenario</t>
  </si>
  <si>
    <t xml:space="preserve">Poll calls per docket per day · Gainsay economics · Gainsay operating forecast · Main Scenario</t>
  </si>
  <si>
    <t xml:space="preserve">Poll calls per docket per day · Gainsay downside</t>
  </si>
  <si>
    <t xml:space="preserve">Poll calls per docket per day · Gainsay growth</t>
  </si>
  <si>
    <t xml:space="preserve">Raised API monthly step cost unquoted · Gainsay drivers · Gainsay pricing economics</t>
  </si>
  <si>
    <t xml:space="preserve">Raised API monthly step cost unquoted · Gainsay economics · Gainsay operating forecast</t>
  </si>
  <si>
    <t xml:space="preserve">Test annual data fee &gt; High fee stress</t>
  </si>
  <si>
    <t xml:space="preserve">Test annual data fee &gt; Illustrative fee</t>
  </si>
  <si>
    <t xml:space="preserve">Test annual data fee &gt; No fee sensitivity only</t>
  </si>
  <si>
    <t xml:space="preserve">Tools per month · Gainsay drivers · Gainsay pricing economics</t>
  </si>
  <si>
    <t xml:space="preserve">Tools per month · Gainsay economics · Gainsay operating forecast</t>
  </si>
  <si>
    <t xml:space="preserve">API calls per day conservative · Gainsay economics · Gainsay operating forecast</t>
  </si>
  <si>
    <t xml:space="preserve">API calls per day measured · Gainsay economics · Gainsay operating forecast</t>
  </si>
  <si>
    <t xml:space="preserve">Card fees · Gainsay economics · Gainsay operating forecast</t>
  </si>
  <si>
    <t xml:space="preserve">Claude cost · Gainsay economics · Gainsay operating forecast</t>
  </si>
  <si>
    <t xml:space="preserve">Daily default API quota · Gainsay economics · Gainsay operating forecast</t>
  </si>
  <si>
    <t xml:space="preserve">Fixed costs monthly reserved · Gainsay economics · Gainsay operating forecast</t>
  </si>
  <si>
    <t xml:space="preserve">Gainsay revenue · Gainsay economics · Gainsay operating forecast · Main Scenario</t>
  </si>
  <si>
    <t xml:space="preserve">Gainsay revenue · Gainsay downside</t>
  </si>
  <si>
    <t xml:space="preserve">Gainsay revenue · Gainsay growth</t>
  </si>
  <si>
    <t xml:space="preserve">Minimum opening cash monthly reserved · Gainsay drivers · Gainsay pricing economics</t>
  </si>
  <si>
    <t xml:space="preserve">Monthly brief demand growth · Gainsay drivers · Gainsay demand assumptions</t>
  </si>
  <si>
    <t xml:space="preserve">Opening cash rounding increment · Gainsay drivers · Gainsay pricing economics</t>
  </si>
  <si>
    <t xml:space="preserve">Contractor support cost · Gainsay economics · Gainsay operating forecast</t>
  </si>
  <si>
    <t xml:space="preserve">Data cash payment · Gainsay economics · Gainsay operating forecast</t>
  </si>
  <si>
    <t xml:space="preserve">Data expense · Gainsay economics · Gainsay operating forecast</t>
  </si>
  <si>
    <t xml:space="preserve">Docket MRR · Gainsay economics · Gainsay operating forecast</t>
  </si>
  <si>
    <t xml:space="preserve">Founder withdrawals · Gainsay economics · Gainsay operating forecast</t>
  </si>
  <si>
    <t xml:space="preserve">Free AI cost · Gainsay economics · Gainsay operating forecast</t>
  </si>
  <si>
    <t xml:space="preserve">Lowest monthly-reserved cash · Gainsay drivers · Gainsay pricing economics</t>
  </si>
  <si>
    <t xml:space="preserve">Operating profit · Gainsay economics · Gainsay operating forecast</t>
  </si>
  <si>
    <t xml:space="preserve">Paid AI cost · Gainsay economics · Gainsay operating forecast</t>
  </si>
  <si>
    <t xml:space="preserve">Payment fees · Gainsay economics · Gainsay operating forecast</t>
  </si>
  <si>
    <t xml:space="preserve">Raised API access cost conservative · Gainsay economics · Gainsay operating forecast</t>
  </si>
  <si>
    <t xml:space="preserve">Three month fixed budget buffer · Gainsay drivers · Gainsay pricing economics</t>
  </si>
  <si>
    <t xml:space="preserve">Contractor docket trigger · Gainsay drivers · Gainsay pricing economics</t>
  </si>
  <si>
    <t xml:space="preserve">Contractor docket trigger · Gainsay economics · Gainsay operating forecast</t>
  </si>
  <si>
    <t xml:space="preserve">Contractor per month · Gainsay drivers · Gainsay pricing economics</t>
  </si>
  <si>
    <t xml:space="preserve">Contractor per month · Gainsay economics · Gainsay operating forecast</t>
  </si>
  <si>
    <t xml:space="preserve">Monthly docket churn · Gainsay drivers · Gainsay demand assumptions</t>
  </si>
  <si>
    <t xml:space="preserve">New dockets per month · Gainsay drivers · Gainsay demand assumptions</t>
  </si>
  <si>
    <t xml:space="preserve">Raised access active conservative · Gainsay economics · Gainsay operating forecast</t>
  </si>
  <si>
    <t xml:space="preserve">Docket filings checked · Gainsay economics · Gainsay operating forecast</t>
  </si>
  <si>
    <t xml:space="preserve">Free checks delivered · Gainsay economics · Gainsay operating forecast</t>
  </si>
  <si>
    <t xml:space="preserve">Monthly acquisition growth · Gainsay drivers · Gainsay demand assumptions</t>
  </si>
  <si>
    <t xml:space="preserve">Brief checks sold · Brief revenue · Gainsay downside · Gainsay downside</t>
  </si>
  <si>
    <t xml:space="preserve">Brief checks sold · Brief revenue · Gainsay growth · Gainsay growth</t>
  </si>
  <si>
    <t xml:space="preserve">Brief price · Brief revenue · Gainsay downside · Gainsay downside</t>
  </si>
  <si>
    <t xml:space="preserve">Brief price · Brief revenue · Gainsay growth · Gainsay growth</t>
  </si>
  <si>
    <t xml:space="preserve">Citations per free check · Free citations checked · Gainsay downside · Gainsay downside</t>
  </si>
  <si>
    <t xml:space="preserve">Citations per free check · Free citations checked · Gainsay growth · Gainsay growth</t>
  </si>
  <si>
    <t xml:space="preserve">Citations per paid filing · Paid citations checked · Gainsay downside · Gainsay downside</t>
  </si>
  <si>
    <t xml:space="preserve">Citations per paid filing · Paid citations checked · Gainsay growth · Gainsay growth</t>
  </si>
  <si>
    <t xml:space="preserve">Contractor support cost · Ending cash · Gainsay downside · Gainsay downside</t>
  </si>
  <si>
    <t xml:space="preserve">Contractor support cost · Ending cash · Gainsay growth · Gainsay growth</t>
  </si>
  <si>
    <t xml:space="preserve">Data cash payment · Ending cash · Gainsay downside · Gainsay downside</t>
  </si>
  <si>
    <t xml:space="preserve">Data cash payment · Ending cash · Gainsay growth · Gainsay growth</t>
  </si>
  <si>
    <t xml:space="preserve">Data expense · Ending cash · Gainsay downside · Gainsay downside</t>
  </si>
  <si>
    <t xml:space="preserve">Data expense · Ending cash · Gainsay growth · Gainsay growth</t>
  </si>
  <si>
    <t xml:space="preserve">Docket filings checked · Gainsay economics · Gainsay data-fee cash sensitivity · Main Scenario</t>
  </si>
  <si>
    <t xml:space="preserve">Docket filings checked · Paid citations checked · Gainsay downside · Gainsay downside</t>
  </si>
  <si>
    <t xml:space="preserve">Docket filings checked · Paid citations checked · Gainsay growth · Gainsay growth</t>
  </si>
  <si>
    <t xml:space="preserve">Docket MRR · Gainsay business plan · Gainsay scenario comparison · Gainsay downside</t>
  </si>
  <si>
    <t xml:space="preserve">Docket MRR · Gainsay business plan · Gainsay scenario comparison · Gainsay growth</t>
  </si>
  <si>
    <t xml:space="preserve">Ending watched dockets · Gainsay business plan · Gainsay scenario comparison · Gainsay downside</t>
  </si>
  <si>
    <t xml:space="preserve">Ending watched dockets · Gainsay business plan · Gainsay scenario comparison · Gainsay growth</t>
  </si>
  <si>
    <t xml:space="preserve">Founder withdrawals · Ending cash · Gainsay downside · Gainsay downside</t>
  </si>
  <si>
    <t xml:space="preserve">Founder withdrawals · Ending cash · Gainsay growth · Gainsay growth</t>
  </si>
  <si>
    <t xml:space="preserve">Free AI cost · Ending cash · Gainsay downside · Gainsay downside</t>
  </si>
  <si>
    <t xml:space="preserve">Free AI cost · Ending cash · Gainsay growth · Gainsay growth</t>
  </si>
  <si>
    <t xml:space="preserve">Free checks delivered · Gainsay economics · Gainsay data-fee cash sensitivity · Main Scenario</t>
  </si>
  <si>
    <t xml:space="preserve">Free checks delivered · Free citations checked · Gainsay downside · Gainsay downside</t>
  </si>
  <si>
    <t xml:space="preserve">Free checks delivered · Free citations checked · Gainsay growth · Gainsay growth</t>
  </si>
  <si>
    <t xml:space="preserve">Hosting per month · Gross profit · Gainsay downside · Gainsay downside</t>
  </si>
  <si>
    <t xml:space="preserve">Hosting per month · Gross profit · Gainsay growth · Gainsay growth</t>
  </si>
  <si>
    <t xml:space="preserve">Launch cost · Operating expense · Gainsay downside · Gainsay downside</t>
  </si>
  <si>
    <t xml:space="preserve">Launch cost · Operating expense · Gainsay growth · Gainsay growth</t>
  </si>
  <si>
    <t xml:space="preserve">Legal and insurance reserve per month · Operating expense · Gainsay downside · Gainsay downside</t>
  </si>
  <si>
    <t xml:space="preserve">Legal and insurance reserve per month · Operating expense · Gainsay growth · Gainsay growth</t>
  </si>
  <si>
    <t xml:space="preserve">Marketing per month · Operating expense · Gainsay downside · Gainsay downside</t>
  </si>
  <si>
    <t xml:space="preserve">Marketing per month · Operating expense · Gainsay growth · Gainsay growth</t>
  </si>
  <si>
    <t xml:space="preserve">Monthly docket churn · Gainsay economics · Gainsay data-fee cash sensitivity · Main Scenario</t>
  </si>
  <si>
    <t xml:space="preserve">Monthly docket churn · Active dockets · Gainsay downside · Gainsay downside</t>
  </si>
  <si>
    <t xml:space="preserve">Monthly docket churn · Active dockets · Gainsay growth · Gainsay growth</t>
  </si>
  <si>
    <t xml:space="preserve">New dockets per month · Gainsay economics · Gainsay data-fee cash sensitivity · Main Scenario</t>
  </si>
  <si>
    <t xml:space="preserve">New dockets per month · Active dockets · Gainsay downside · Gainsay downside</t>
  </si>
  <si>
    <t xml:space="preserve">New dockets per month · Active dockets · Gainsay growth · Gainsay growth</t>
  </si>
  <si>
    <t xml:space="preserve">Opening cash placeholder · Ending cash · Gainsay downside · Gainsay downside</t>
  </si>
  <si>
    <t xml:space="preserve">Opening cash placeholder · Ending cash · Gainsay growth · Gainsay growth</t>
  </si>
  <si>
    <t xml:space="preserve">Operating profit · Gainsay economics · Gainsay data-fee cash sensitivity · Main Scenario</t>
  </si>
  <si>
    <t xml:space="preserve">Operating profit · Ending cash · Gainsay downside · Gainsay downside</t>
  </si>
  <si>
    <t xml:space="preserve">Operating profit · Ending cash · Gainsay growth · Gainsay growth</t>
  </si>
  <si>
    <t xml:space="preserve">Paid AI cost · Gainsay economics · Gainsay data-fee cash sensitivity · Main Scenario</t>
  </si>
  <si>
    <t xml:space="preserve">Paid AI cost · Ending cash · Gainsay downside · Gainsay downside</t>
  </si>
  <si>
    <t xml:space="preserve">Paid AI cost · Ending cash · Gainsay growth · Gainsay growth</t>
  </si>
  <si>
    <t xml:space="preserve">Payment fees · Gainsay economics · Gainsay data-fee cash sensitivity · Main Scenario</t>
  </si>
  <si>
    <t xml:space="preserve">Payment fees · Ending cash · Gainsay downside · Gainsay downside</t>
  </si>
  <si>
    <t xml:space="preserve">Payment fees · Ending cash · Gainsay growth · Gainsay growth</t>
  </si>
  <si>
    <t xml:space="preserve">Raised API access cost conservative · Gainsay economics · Gainsay data-fee cash sensitivity · Main Scenario</t>
  </si>
  <si>
    <t xml:space="preserve">Raised API access cost conservative · Ending cash · Gainsay downside · Gainsay downside</t>
  </si>
  <si>
    <t xml:space="preserve">Raised API access cost conservative · Ending cash · Gainsay growth · Gainsay growth</t>
  </si>
  <si>
    <t xml:space="preserve">Tools per month · Operating expense · Gainsay downside · Gainsay downside</t>
  </si>
  <si>
    <t xml:space="preserve">Tools per month · Operating expense · Gainsay growth · Gainsay growth</t>
  </si>
  <si>
    <t xml:space="preserve">Minimum opening cash monthly reserved · Recommended opening cash monthly reserved</t>
  </si>
  <si>
    <t xml:space="preserve">Opening cash rounding increment · Recommended opening cash monthly reserved</t>
  </si>
  <si>
    <t xml:space="preserve">Raised access active conservative · Gainsay economics · Gainsay data-fee cash sensitivity</t>
  </si>
  <si>
    <t xml:space="preserve">Monthly acquisition growth · Gainsay economics · Gainsay data-fee cash sensitivity</t>
  </si>
  <si>
    <t xml:space="preserve">Annual data fee placeholder · Data cash payment · Ending cash · Gainsay downside · Gainsay downside · Gainsay downside</t>
  </si>
  <si>
    <t xml:space="preserve">Annual data fee placeholder · Data cash payment · Ending cash · Gainsay growth · Gainsay growth · Gainsay growth</t>
  </si>
  <si>
    <t xml:space="preserve">Claude cost per citation · Free AI cost · Ending cash · Gainsay downside · Gainsay downside · Gainsay downside</t>
  </si>
  <si>
    <t xml:space="preserve">Claude cost per citation · Free AI cost · Ending cash · Gainsay growth · Gainsay growth · Gainsay growth</t>
  </si>
  <si>
    <t xml:space="preserve">Contractor docket trigger · Contractor support cost · Ending cash · Gainsay downside · Gainsay downside · Gainsay downside</t>
  </si>
  <si>
    <t xml:space="preserve">Contractor docket trigger · Contractor support cost · Ending cash · Gainsay growth · Gainsay growth · Gainsay growth</t>
  </si>
  <si>
    <t xml:space="preserve">Contractor per month · Contractor support cost · Ending cash · Gainsay downside · Gainsay downside · Gainsay downside</t>
  </si>
  <si>
    <t xml:space="preserve">Contractor per month · Contractor support cost · Ending cash · Gainsay growth · Gainsay growth · Gainsay growth</t>
  </si>
  <si>
    <t xml:space="preserve">Founder draw per month · Founder withdrawals · Ending cash · Gainsay downside · Gainsay downside · Gainsay downside</t>
  </si>
  <si>
    <t xml:space="preserve">Founder draw per month · Founder withdrawals · Ending cash · Gainsay growth · Gainsay growth · Gainsay growth</t>
  </si>
  <si>
    <t xml:space="preserve">Global free checks per month · Free checks delivered · Free citations checked · Gainsay downside · Gainsay downside · Gainsay downside</t>
  </si>
  <si>
    <t xml:space="preserve">Global free checks per month · Free checks delivered · Free citations checked · Gainsay growth · Gainsay growth · Gainsay growth</t>
  </si>
  <si>
    <t xml:space="preserve">Monthly acquisition growth · New dockets per month · Active dockets · Gainsay downside · Gainsay downside · Gainsay downside</t>
  </si>
  <si>
    <t xml:space="preserve">Monthly acquisition growth · New dockets per month · Active dockets · Gainsay growth · Gainsay growth · Gainsay growth</t>
  </si>
  <si>
    <t xml:space="preserve">Monthly brief demand growth · Gainsay downside</t>
  </si>
  <si>
    <t xml:space="preserve">Monthly brief demand growth · Gainsay growth</t>
  </si>
  <si>
    <t xml:space="preserve">New filings per docket · Docket filings checked · Paid citations checked · Gainsay downside · Gainsay downside · Gainsay downside</t>
  </si>
  <si>
    <t xml:space="preserve">New filings per docket · Docket filings checked · Paid citations checked · Gainsay growth · Gainsay growth · Gainsay growth</t>
  </si>
  <si>
    <t xml:space="preserve">Payment fee per transaction · Payment fees · Ending cash · Gainsay downside · Gainsay downside · Gainsay downside</t>
  </si>
  <si>
    <t xml:space="preserve">Payment fee per transaction · Payment fees · Ending cash · Gainsay growth · Gainsay growth · Gainsay growth</t>
  </si>
  <si>
    <t xml:space="preserve">Payment percentage · Payment fees · Ending cash · Gainsay downside · Gainsay downside · Gainsay downside</t>
  </si>
  <si>
    <t xml:space="preserve">Payment percentage · Payment fees · Ending cash · Gainsay growth · Gainsay growth · Gainsay growth</t>
  </si>
  <si>
    <t xml:space="preserve">Raised access active conservative · Ending cash · Gainsay downside · Gainsay downside</t>
  </si>
  <si>
    <t xml:space="preserve">Raised access active conservative · Ending cash · Gainsay growth · Gainsay growth</t>
  </si>
  <si>
    <t xml:space="preserve">Raised API monthly step cost unquoted · Raised API access cost conservative · Ending cash · Gainsay downside · Gainsay downside · Gainsay downside</t>
  </si>
  <si>
    <t xml:space="preserve">Raised API monthly step cost unquoted · Raised API access cost conservative · Ending cash · Gainsay growth · Gainsay growth · Gainsay growth</t>
  </si>
  <si>
    <t xml:space="preserve">Lowest monthly-reserved cash · Recommended opening cash monthly reserved</t>
  </si>
  <si>
    <t xml:space="preserve">Three month fixed budget buffer · Recommended opening cash monthly reserved</t>
  </si>
  <si>
    <t xml:space="preserve">API quota exceeded conservative · Gainsay downside</t>
  </si>
  <si>
    <t xml:space="preserve">API quota exceeded conservative · Gainsay growth</t>
  </si>
  <si>
    <t xml:space="preserve">API calls per day conservative · Gainsay downside</t>
  </si>
  <si>
    <t xml:space="preserve">API calls per day conservative · Gainsay growth</t>
  </si>
  <si>
    <t xml:space="preserve">Daily default API quota · API quota exceeded conservative · Gainsay downside · Gainsay downside</t>
  </si>
  <si>
    <t xml:space="preserve">Daily default API quota · API quota exceeded conservative · Gainsay growth · Gainsay growth</t>
  </si>
  <si>
    <t xml:space="preserve">Planning days per month · API calls per day conservative · Gainsay downside · Gainsay downside</t>
  </si>
  <si>
    <t xml:space="preserve">Planning days per month · API calls per day conservative · Gainsay growth · Gainsay growth</t>
  </si>
  <si>
    <t xml:space="preserve">Supporting calculations</t>
  </si>
  <si>
    <t xml:space="preserve">Calculation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</si>
</sst>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;\(#,##0.000\)"/>
    <numFmt numFmtId="166" formatCode="#,##0.00;\(#,##0.00\)"/>
    <numFmt numFmtId="167" formatCode="0.00%"/>
    <numFmt numFmtId="168" formatCode="\$#,##0.00;&quot;($&quot;#,##0.00\)"/>
    <numFmt numFmtId="169" formatCode="yyyy\-mm\-dd"/>
    <numFmt numFmtId="170" formatCode="\$#,##0;&quot;($&quot;#,##0\)"/>
    <numFmt numFmtId="171" formatCode="#,##0.###;\(#,##0.###\)"/>
    <numFmt numFmtId="172" formatCode="0.0%"/>
    <numFmt numFmtId="173" formatCode="\$#,##0.000;&quot;($&quot;#,##0.000\)"/>
  </numFmts>
  <fonts count="8">
    <font>
      <sz val="10"/>
      <color rgb="FF352F29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7365D"/>
      <name val="Cambria"/>
      <family val="0"/>
      <charset val="1"/>
    </font>
    <font>
      <b val="true"/>
      <sz val="16"/>
      <color rgb="FFFFFFFF"/>
      <name val="Aptos"/>
      <family val="0"/>
      <charset val="1"/>
    </font>
    <font>
      <sz val="9"/>
      <color rgb="FF817B73"/>
      <name val="Aptos"/>
      <family val="0"/>
      <charset val="1"/>
    </font>
    <font>
      <b val="true"/>
      <sz val="10"/>
      <color rgb="FF352F29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52F29"/>
        <bgColor rgb="FF333300"/>
      </patternFill>
    </fill>
    <fill>
      <patternFill patternType="solid">
        <fgColor rgb="FFF0EDE8"/>
        <bgColor rgb="FFF5F2EC"/>
      </patternFill>
    </fill>
    <fill>
      <patternFill patternType="solid">
        <fgColor rgb="FFF5F2EC"/>
        <bgColor rgb="FFF0EDE8"/>
      </patternFill>
    </fill>
    <fill>
      <patternFill patternType="solid">
        <fgColor rgb="FFE6E0D7"/>
        <bgColor rgb="FFE7E3DD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17B73"/>
      <rgbColor rgb="FF9999FF"/>
      <rgbColor rgb="FF993366"/>
      <rgbColor rgb="FFF5F2EC"/>
      <rgbColor rgb="FFF7F9FC"/>
      <rgbColor rgb="FF660066"/>
      <rgbColor rgb="FFFF8080"/>
      <rgbColor rgb="FF0066CC"/>
      <rgbColor rgb="FFE6E0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E8"/>
      <rgbColor rgb="FFE7E3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52F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5"/>
  </cols>
  <sheetData>
    <row r="1" customFormat="false" ht="27.75" hidden="false" customHeight="true" outlineLevel="0" collapsed="false">
      <c r="A1" s="1" t="s">
        <v>0</v>
      </c>
      <c r="B1" s="2" t="s">
        <v>1</v>
      </c>
    </row>
    <row r="2" customFormat="false" ht="42" hidden="false" customHeight="true" outlineLevel="0" collapsed="false">
      <c r="A2" s="1" t="s">
        <v>2</v>
      </c>
      <c r="B2" s="2" t="s">
        <v>3</v>
      </c>
    </row>
    <row r="3" customFormat="false" ht="42" hidden="false" customHeight="true" outlineLevel="0" collapsed="false">
      <c r="A3" s="1" t="s">
        <v>4</v>
      </c>
      <c r="B3" s="2" t="s">
        <v>5</v>
      </c>
    </row>
    <row r="4" customFormat="false" ht="42" hidden="false" customHeight="true" outlineLevel="0" collapsed="false">
      <c r="A4" s="1" t="s">
        <v>6</v>
      </c>
      <c r="B4" s="2" t="s">
        <v>7</v>
      </c>
    </row>
    <row r="5" customFormat="false" ht="42" hidden="false" customHeight="true" outlineLevel="0" collapsed="false">
      <c r="A5" s="1" t="s">
        <v>8</v>
      </c>
      <c r="B5" s="2" t="s">
        <v>9</v>
      </c>
    </row>
    <row r="6" customFormat="false" ht="42" hidden="false" customHeight="true" outlineLevel="0" collapsed="false">
      <c r="A6" s="1" t="s">
        <v>10</v>
      </c>
      <c r="B6" s="2" t="s">
        <v>11</v>
      </c>
    </row>
    <row r="7" customFormat="false" ht="42" hidden="false" customHeight="true" outlineLevel="0" collapsed="false">
      <c r="A7" s="1" t="s">
        <v>12</v>
      </c>
      <c r="B7" s="2" t="s">
        <v>13</v>
      </c>
    </row>
    <row r="8" customFormat="false" ht="42" hidden="false" customHeight="true" outlineLevel="0" collapsed="false">
      <c r="A8" s="1" t="s">
        <v>14</v>
      </c>
      <c r="B8" s="2" t="s">
        <v>15</v>
      </c>
    </row>
    <row r="9" customFormat="false" ht="42" hidden="false" customHeight="true" outlineLevel="0" collapsed="false">
      <c r="A9" s="1" t="s">
        <v>16</v>
      </c>
      <c r="B9" s="2" t="s">
        <v>17</v>
      </c>
    </row>
    <row r="10" customFormat="false" ht="42" hidden="false" customHeight="true" outlineLevel="0" collapsed="false">
      <c r="A10" s="1" t="s">
        <v>18</v>
      </c>
      <c r="B10" s="2" t="s">
        <v>19</v>
      </c>
    </row>
    <row r="11" customFormat="false" ht="42" hidden="false" customHeight="true" outlineLevel="0" collapsed="false">
      <c r="A11" s="1" t="s">
        <v>20</v>
      </c>
      <c r="B11" s="2" t="s">
        <v>21</v>
      </c>
    </row>
    <row r="12" customFormat="false" ht="42" hidden="false" customHeight="true" outlineLevel="0" collapsed="false">
      <c r="A12" s="1" t="s">
        <v>22</v>
      </c>
      <c r="B12" s="2" t="s">
        <v>23</v>
      </c>
    </row>
    <row r="13" customFormat="false" ht="42" hidden="false" customHeight="true" outlineLevel="0" collapsed="false">
      <c r="A13" s="1" t="s">
        <v>24</v>
      </c>
      <c r="B13" s="2" t="s">
        <v>25</v>
      </c>
    </row>
    <row r="14" customFormat="false" ht="42" hidden="false" customHeight="true" outlineLevel="0" collapsed="false">
      <c r="A14" s="1" t="s">
        <v>26</v>
      </c>
      <c r="B14" s="2" t="s">
        <v>27</v>
      </c>
    </row>
    <row r="15" customFormat="false" ht="42" hidden="false" customHeight="true" outlineLevel="0" collapsed="false">
      <c r="A15" s="1" t="s">
        <v>28</v>
      </c>
      <c r="B15" s="2" t="s">
        <v>29</v>
      </c>
    </row>
    <row r="16" customFormat="false" ht="42" hidden="false" customHeight="true" outlineLevel="0" collapsed="false">
      <c r="A16" s="1" t="s">
        <v>30</v>
      </c>
      <c r="B16" s="2" t="s">
        <v>31</v>
      </c>
    </row>
    <row r="17" customFormat="false" ht="42" hidden="false" customHeight="true" outlineLevel="0" collapsed="false">
      <c r="A17" s="1" t="s">
        <v>32</v>
      </c>
      <c r="B17" s="2" t="s">
        <v>33</v>
      </c>
    </row>
    <row r="18" customFormat="false" ht="42" hidden="false" customHeight="true" outlineLevel="0" collapsed="false">
      <c r="A18" s="1" t="s">
        <v>34</v>
      </c>
      <c r="B18" s="2" t="s">
        <v>35</v>
      </c>
    </row>
    <row r="19" customFormat="false" ht="42" hidden="false" customHeight="true" outlineLevel="0" collapsed="false">
      <c r="A19" s="1" t="s">
        <v>36</v>
      </c>
      <c r="B19" s="2" t="s">
        <v>37</v>
      </c>
    </row>
    <row r="20" customFormat="false" ht="42" hidden="false" customHeight="true" outlineLevel="0" collapsed="false">
      <c r="A20" s="1" t="s">
        <v>38</v>
      </c>
      <c r="B20" s="2" t="s">
        <v>39</v>
      </c>
    </row>
    <row r="21" customFormat="false" ht="42" hidden="false" customHeight="true" outlineLevel="0" collapsed="false">
      <c r="A21" s="1" t="s">
        <v>40</v>
      </c>
      <c r="B21" s="2" t="s">
        <v>41</v>
      </c>
    </row>
    <row r="22" customFormat="false" ht="42" hidden="false" customHeight="true" outlineLevel="0" collapsed="false">
      <c r="A22" s="1" t="s">
        <v>42</v>
      </c>
      <c r="B22" s="2" t="s">
        <v>43</v>
      </c>
    </row>
    <row r="23" customFormat="false" ht="42" hidden="false" customHeight="true" outlineLevel="0" collapsed="false">
      <c r="A23" s="1" t="s">
        <v>44</v>
      </c>
      <c r="B23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1.5" hidden="false" customHeight="true" outlineLevel="0" collapsed="false">
      <c r="A1" s="3" t="s">
        <v>46</v>
      </c>
      <c r="B1" s="3"/>
    </row>
    <row r="2" customFormat="false" ht="19.5" hidden="false" customHeight="true" outlineLevel="0" collapsed="false">
      <c r="A2" s="4" t="s">
        <v>47</v>
      </c>
    </row>
    <row r="4" customFormat="false" ht="21.75" hidden="false" customHeight="true" outlineLevel="0" collapsed="false">
      <c r="A4" s="5" t="s">
        <v>48</v>
      </c>
      <c r="B4" s="6" t="s">
        <v>49</v>
      </c>
    </row>
    <row r="5" customFormat="false" ht="18" hidden="false" customHeight="false" outlineLevel="0" collapsed="false">
      <c r="A5" s="7" t="s">
        <v>50</v>
      </c>
      <c r="B5" s="8" t="n">
        <v>0.026</v>
      </c>
    </row>
    <row r="6" customFormat="false" ht="18" hidden="false" customHeight="false" outlineLevel="0" collapsed="false">
      <c r="A6" s="9" t="s">
        <v>51</v>
      </c>
      <c r="B6" s="10" t="n">
        <v>29</v>
      </c>
    </row>
    <row r="7" customFormat="false" ht="18" hidden="false" customHeight="false" outlineLevel="0" collapsed="false">
      <c r="A7" s="9" t="s">
        <v>52</v>
      </c>
      <c r="B7" s="10" t="n">
        <v>9</v>
      </c>
    </row>
    <row r="8" customFormat="false" ht="18" hidden="false" customHeight="false" outlineLevel="0" collapsed="false">
      <c r="A8" s="9" t="s">
        <v>53</v>
      </c>
      <c r="B8" s="10" t="n">
        <v>2</v>
      </c>
    </row>
    <row r="9" customFormat="false" ht="18" hidden="false" customHeight="false" outlineLevel="0" collapsed="false">
      <c r="A9" s="9" t="s">
        <v>54</v>
      </c>
      <c r="B9" s="10" t="n">
        <v>35</v>
      </c>
    </row>
    <row r="10" customFormat="false" ht="18" hidden="false" customHeight="false" outlineLevel="0" collapsed="false">
      <c r="A10" s="9" t="s">
        <v>55</v>
      </c>
      <c r="B10" s="10" t="n">
        <v>30</v>
      </c>
    </row>
    <row r="11" customFormat="false" ht="18" hidden="false" customHeight="false" outlineLevel="0" collapsed="false">
      <c r="A11" s="9" t="s">
        <v>56</v>
      </c>
      <c r="B11" s="10" t="n">
        <v>20</v>
      </c>
    </row>
    <row r="12" customFormat="false" ht="18" hidden="false" customHeight="false" outlineLevel="0" collapsed="false">
      <c r="A12" s="9" t="s">
        <v>57</v>
      </c>
      <c r="B12" s="10" t="n">
        <v>2</v>
      </c>
    </row>
    <row r="13" customFormat="false" ht="18" hidden="false" customHeight="false" outlineLevel="0" collapsed="false">
      <c r="A13" s="9" t="s">
        <v>58</v>
      </c>
      <c r="B13" s="10" t="n">
        <v>125</v>
      </c>
    </row>
    <row r="14" customFormat="false" ht="18" hidden="false" customHeight="false" outlineLevel="0" collapsed="false">
      <c r="A14" s="9" t="s">
        <v>59</v>
      </c>
      <c r="B14" s="10" t="n">
        <v>1</v>
      </c>
    </row>
    <row r="15" customFormat="false" ht="18" hidden="false" customHeight="false" outlineLevel="0" collapsed="false">
      <c r="A15" s="9" t="s">
        <v>60</v>
      </c>
      <c r="B15" s="10" t="n">
        <v>15</v>
      </c>
    </row>
    <row r="16" customFormat="false" ht="18" hidden="false" customHeight="false" outlineLevel="0" collapsed="false">
      <c r="A16" s="9" t="s">
        <v>61</v>
      </c>
      <c r="B16" s="10" t="n">
        <v>30</v>
      </c>
    </row>
    <row r="17" customFormat="false" ht="18" hidden="false" customHeight="false" outlineLevel="0" collapsed="false">
      <c r="A17" s="9" t="s">
        <v>62</v>
      </c>
      <c r="B17" s="10" t="n">
        <v>100</v>
      </c>
    </row>
    <row r="18" customFormat="false" ht="18" hidden="false" customHeight="false" outlineLevel="0" collapsed="false">
      <c r="A18" s="9" t="s">
        <v>63</v>
      </c>
      <c r="B18" s="10" t="n">
        <v>100</v>
      </c>
    </row>
    <row r="19" customFormat="false" ht="18" hidden="false" customHeight="false" outlineLevel="0" collapsed="false">
      <c r="A19" s="9" t="s">
        <v>64</v>
      </c>
      <c r="B19" s="10" t="n">
        <v>500</v>
      </c>
    </row>
    <row r="20" customFormat="false" ht="18" hidden="false" customHeight="false" outlineLevel="0" collapsed="false">
      <c r="A20" s="9" t="s">
        <v>65</v>
      </c>
      <c r="B20" s="10" t="n">
        <v>3000</v>
      </c>
    </row>
    <row r="21" customFormat="false" ht="18" hidden="false" customHeight="false" outlineLevel="0" collapsed="false">
      <c r="A21" s="9" t="s">
        <v>66</v>
      </c>
      <c r="B21" s="10" t="n">
        <v>5000</v>
      </c>
    </row>
    <row r="22" customFormat="false" ht="18" hidden="false" customHeight="false" outlineLevel="0" collapsed="false">
      <c r="A22" s="9" t="s">
        <v>67</v>
      </c>
      <c r="B22" s="10" t="n">
        <v>500</v>
      </c>
    </row>
    <row r="23" customFormat="false" ht="18" hidden="false" customHeight="false" outlineLevel="0" collapsed="false">
      <c r="A23" s="9" t="s">
        <v>68</v>
      </c>
      <c r="B23" s="11" t="n">
        <v>0.029</v>
      </c>
    </row>
    <row r="24" customFormat="false" ht="18" hidden="false" customHeight="false" outlineLevel="0" collapsed="false">
      <c r="A24" s="9" t="s">
        <v>69</v>
      </c>
      <c r="B24" s="10" t="n">
        <v>0.3</v>
      </c>
    </row>
    <row r="25" customFormat="false" ht="18" hidden="false" customHeight="false" outlineLevel="0" collapsed="false">
      <c r="A25" s="9" t="s">
        <v>70</v>
      </c>
      <c r="B25" s="10" t="n">
        <v>3</v>
      </c>
    </row>
    <row r="26" customFormat="false" ht="18" hidden="false" customHeight="false" outlineLevel="0" collapsed="false">
      <c r="A26" s="9" t="s">
        <v>71</v>
      </c>
      <c r="B26" s="10" t="n">
        <v>60</v>
      </c>
    </row>
    <row r="27" customFormat="false" ht="18" hidden="false" customHeight="false" outlineLevel="0" collapsed="false">
      <c r="A27" s="9" t="s">
        <v>72</v>
      </c>
      <c r="B27" s="10" t="n">
        <v>50</v>
      </c>
    </row>
    <row r="28" customFormat="false" ht="18" hidden="false" customHeight="false" outlineLevel="0" collapsed="false">
      <c r="A28" s="9" t="s">
        <v>73</v>
      </c>
      <c r="B28" s="10" t="n">
        <v>400</v>
      </c>
    </row>
    <row r="29" customFormat="false" ht="18" hidden="false" customHeight="false" outlineLevel="0" collapsed="false">
      <c r="A29" s="9" t="s">
        <v>74</v>
      </c>
      <c r="B29" s="10" t="n">
        <v>0.8</v>
      </c>
    </row>
    <row r="30" customFormat="false" ht="18" hidden="false" customHeight="false" outlineLevel="0" collapsed="false">
      <c r="A30" s="9" t="s">
        <v>75</v>
      </c>
      <c r="B30" s="12" t="n">
        <v>0</v>
      </c>
    </row>
    <row r="31" customFormat="false" ht="18" hidden="false" customHeight="false" outlineLevel="0" collapsed="false">
      <c r="A31" s="9" t="s">
        <v>76</v>
      </c>
      <c r="B31" s="10" t="n">
        <v>3</v>
      </c>
    </row>
    <row r="32" customFormat="false" ht="18" hidden="false" customHeight="false" outlineLevel="0" collapsed="false">
      <c r="A32" s="9" t="s">
        <v>77</v>
      </c>
      <c r="B32" s="10" t="n">
        <v>30.4</v>
      </c>
    </row>
    <row r="33" customFormat="false" ht="18" hidden="false" customHeight="false" outlineLevel="0" collapsed="false">
      <c r="A33" s="9" t="s">
        <v>78</v>
      </c>
      <c r="B33" s="12" t="n">
        <v>500</v>
      </c>
    </row>
    <row r="34" customFormat="false" ht="18" hidden="false" customHeight="false" outlineLevel="0" collapsed="false">
      <c r="A34" s="9" t="s">
        <v>79</v>
      </c>
      <c r="B34" s="10" t="n">
        <v>13</v>
      </c>
    </row>
    <row r="35" customFormat="false" ht="18" hidden="false" customHeight="false" outlineLevel="0" collapsed="false">
      <c r="A35" s="7" t="s">
        <v>80</v>
      </c>
      <c r="B35" s="13" t="n">
        <v>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16" min="2" style="0" width="19"/>
  </cols>
  <sheetData>
    <row r="1" customFormat="false" ht="31.5" hidden="false" customHeight="true" outlineLevel="0" collapsed="false">
      <c r="A1" s="3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9.5" hidden="false" customHeight="true" outlineLevel="0" collapsed="false">
      <c r="A2" s="4" t="s">
        <v>47</v>
      </c>
    </row>
    <row r="4" customFormat="false" ht="21.75" hidden="false" customHeight="true" outlineLevel="0" collapsed="false">
      <c r="A4" s="5" t="s">
        <v>48</v>
      </c>
      <c r="B4" s="14" t="s">
        <v>82</v>
      </c>
      <c r="C4" s="6" t="s">
        <v>83</v>
      </c>
      <c r="D4" s="6" t="s">
        <v>84</v>
      </c>
      <c r="E4" s="14" t="s">
        <v>85</v>
      </c>
      <c r="F4" s="6" t="s">
        <v>86</v>
      </c>
      <c r="G4" s="6" t="s">
        <v>87</v>
      </c>
      <c r="H4" s="14" t="s">
        <v>88</v>
      </c>
      <c r="I4" s="6" t="s">
        <v>89</v>
      </c>
      <c r="J4" s="6" t="s">
        <v>90</v>
      </c>
      <c r="K4" s="14" t="s">
        <v>91</v>
      </c>
      <c r="L4" s="6" t="s">
        <v>92</v>
      </c>
      <c r="M4" s="6" t="s">
        <v>93</v>
      </c>
      <c r="N4" s="14" t="s">
        <v>94</v>
      </c>
      <c r="O4" s="6" t="s">
        <v>95</v>
      </c>
      <c r="P4" s="6" t="s">
        <v>96</v>
      </c>
    </row>
    <row r="5" customFormat="false" ht="18" hidden="false" customHeight="false" outlineLevel="0" collapsed="false">
      <c r="A5" s="7" t="s">
        <v>97</v>
      </c>
      <c r="B5" s="13" t="n">
        <v>3</v>
      </c>
      <c r="C5" s="13" t="n">
        <f aca="false">'Gainsay drivers · Gainsay deman'!B5*(1+'Gainsay drivers · Gainsay deman'!C6)</f>
        <v>3.15</v>
      </c>
      <c r="D5" s="13" t="n">
        <f aca="false">'Gainsay drivers · Gainsay deman'!C5*(1+'Gainsay drivers · Gainsay deman'!D6)</f>
        <v>3.3075</v>
      </c>
      <c r="E5" s="13" t="n">
        <f aca="false">'Gainsay drivers · Gainsay deman'!D5*(1+'Gainsay drivers · Gainsay deman'!E6)</f>
        <v>3.472875</v>
      </c>
      <c r="F5" s="13" t="n">
        <f aca="false">'Gainsay drivers · Gainsay deman'!E5*(1+'Gainsay drivers · Gainsay deman'!F6)</f>
        <v>3.64651875</v>
      </c>
      <c r="G5" s="13" t="n">
        <f aca="false">'Gainsay drivers · Gainsay deman'!F5*(1+'Gainsay drivers · Gainsay deman'!G6)</f>
        <v>3.8288446875</v>
      </c>
      <c r="H5" s="13" t="n">
        <f aca="false">'Gainsay drivers · Gainsay deman'!G5*(1+'Gainsay drivers · Gainsay deman'!H6)</f>
        <v>4.020286921875</v>
      </c>
      <c r="I5" s="13" t="n">
        <f aca="false">'Gainsay drivers · Gainsay deman'!H5*(1+'Gainsay drivers · Gainsay deman'!I6)</f>
        <v>4.22130126796875</v>
      </c>
      <c r="J5" s="13" t="n">
        <f aca="false">'Gainsay drivers · Gainsay deman'!I5*(1+'Gainsay drivers · Gainsay deman'!J6)</f>
        <v>4.43236633136719</v>
      </c>
      <c r="K5" s="13" t="n">
        <f aca="false">'Gainsay drivers · Gainsay deman'!J5*(1+'Gainsay drivers · Gainsay deman'!K6)</f>
        <v>4.65398464793555</v>
      </c>
      <c r="L5" s="13" t="n">
        <f aca="false">'Gainsay drivers · Gainsay deman'!K5*(1+'Gainsay drivers · Gainsay deman'!L6)</f>
        <v>4.88668388033233</v>
      </c>
      <c r="M5" s="13" t="n">
        <f aca="false">'Gainsay drivers · Gainsay deman'!L5*(1+'Gainsay drivers · Gainsay deman'!M6)</f>
        <v>5.13101807434894</v>
      </c>
      <c r="N5" s="13" t="n">
        <f aca="false">'Gainsay drivers · Gainsay deman'!M5*(1+'Gainsay drivers · Gainsay deman'!N6)</f>
        <v>5.38756897806639</v>
      </c>
      <c r="O5" s="13" t="n">
        <f aca="false">'Gainsay drivers · Gainsay deman'!N5*(1+'Gainsay drivers · Gainsay deman'!O6)</f>
        <v>5.65694742696971</v>
      </c>
      <c r="P5" s="13" t="n">
        <f aca="false">'Gainsay drivers · Gainsay deman'!O5*(1+'Gainsay drivers · Gainsay deman'!P6)</f>
        <v>5.9397947983182</v>
      </c>
    </row>
    <row r="6" customFormat="false" ht="18" hidden="false" customHeight="false" outlineLevel="0" collapsed="false">
      <c r="A6" s="9" t="s">
        <v>98</v>
      </c>
      <c r="B6" s="11" t="n">
        <v>0.05</v>
      </c>
      <c r="C6" s="11" t="n">
        <f aca="false">IF('Gainsay drivers · Gainsay deman'!B6="","",'Gainsay drivers · Gainsay deman'!B6)</f>
        <v>0.05</v>
      </c>
      <c r="D6" s="11" t="n">
        <f aca="false">IF('Gainsay drivers · Gainsay deman'!C6="","",'Gainsay drivers · Gainsay deman'!C6)</f>
        <v>0.05</v>
      </c>
      <c r="E6" s="11" t="n">
        <f aca="false">IF('Gainsay drivers · Gainsay deman'!D6="","",'Gainsay drivers · Gainsay deman'!D6)</f>
        <v>0.05</v>
      </c>
      <c r="F6" s="11" t="n">
        <f aca="false">IF('Gainsay drivers · Gainsay deman'!E6="","",'Gainsay drivers · Gainsay deman'!E6)</f>
        <v>0.05</v>
      </c>
      <c r="G6" s="11" t="n">
        <f aca="false">IF('Gainsay drivers · Gainsay deman'!F6="","",'Gainsay drivers · Gainsay deman'!F6)</f>
        <v>0.05</v>
      </c>
      <c r="H6" s="11" t="n">
        <f aca="false">IF('Gainsay drivers · Gainsay deman'!G6="","",'Gainsay drivers · Gainsay deman'!G6)</f>
        <v>0.05</v>
      </c>
      <c r="I6" s="11" t="n">
        <f aca="false">IF('Gainsay drivers · Gainsay deman'!H6="","",'Gainsay drivers · Gainsay deman'!H6)</f>
        <v>0.05</v>
      </c>
      <c r="J6" s="11" t="n">
        <f aca="false">IF('Gainsay drivers · Gainsay deman'!I6="","",'Gainsay drivers · Gainsay deman'!I6)</f>
        <v>0.05</v>
      </c>
      <c r="K6" s="11" t="n">
        <f aca="false">IF('Gainsay drivers · Gainsay deman'!J6="","",'Gainsay drivers · Gainsay deman'!J6)</f>
        <v>0.05</v>
      </c>
      <c r="L6" s="11" t="n">
        <f aca="false">IF('Gainsay drivers · Gainsay deman'!K6="","",'Gainsay drivers · Gainsay deman'!K6)</f>
        <v>0.05</v>
      </c>
      <c r="M6" s="11" t="n">
        <f aca="false">IF('Gainsay drivers · Gainsay deman'!L6="","",'Gainsay drivers · Gainsay deman'!L6)</f>
        <v>0.05</v>
      </c>
      <c r="N6" s="11" t="n">
        <f aca="false">IF('Gainsay drivers · Gainsay deman'!M6="","",'Gainsay drivers · Gainsay deman'!M6)</f>
        <v>0.05</v>
      </c>
      <c r="O6" s="11" t="n">
        <f aca="false">IF('Gainsay drivers · Gainsay deman'!N6="","",'Gainsay drivers · Gainsay deman'!N6)</f>
        <v>0.05</v>
      </c>
      <c r="P6" s="11" t="n">
        <f aca="false">IF('Gainsay drivers · Gainsay deman'!O6="","",'Gainsay drivers · Gainsay deman'!O6)</f>
        <v>0.05</v>
      </c>
    </row>
    <row r="7" customFormat="false" ht="18" hidden="false" customHeight="false" outlineLevel="0" collapsed="false">
      <c r="A7" s="9" t="s">
        <v>99</v>
      </c>
      <c r="B7" s="11" t="n">
        <v>0.03</v>
      </c>
      <c r="C7" s="11" t="n">
        <f aca="false">IF('Gainsay drivers · Gainsay deman'!B7="","",'Gainsay drivers · Gainsay deman'!B7)</f>
        <v>0.03</v>
      </c>
      <c r="D7" s="11" t="n">
        <f aca="false">IF('Gainsay drivers · Gainsay deman'!C7="","",'Gainsay drivers · Gainsay deman'!C7)</f>
        <v>0.03</v>
      </c>
      <c r="E7" s="11" t="n">
        <f aca="false">IF('Gainsay drivers · Gainsay deman'!D7="","",'Gainsay drivers · Gainsay deman'!D7)</f>
        <v>0.03</v>
      </c>
      <c r="F7" s="11" t="n">
        <f aca="false">IF('Gainsay drivers · Gainsay deman'!E7="","",'Gainsay drivers · Gainsay deman'!E7)</f>
        <v>0.03</v>
      </c>
      <c r="G7" s="11" t="n">
        <f aca="false">IF('Gainsay drivers · Gainsay deman'!F7="","",'Gainsay drivers · Gainsay deman'!F7)</f>
        <v>0.03</v>
      </c>
      <c r="H7" s="11" t="n">
        <f aca="false">IF('Gainsay drivers · Gainsay deman'!G7="","",'Gainsay drivers · Gainsay deman'!G7)</f>
        <v>0.03</v>
      </c>
      <c r="I7" s="11" t="n">
        <f aca="false">IF('Gainsay drivers · Gainsay deman'!H7="","",'Gainsay drivers · Gainsay deman'!H7)</f>
        <v>0.03</v>
      </c>
      <c r="J7" s="11" t="n">
        <f aca="false">IF('Gainsay drivers · Gainsay deman'!I7="","",'Gainsay drivers · Gainsay deman'!I7)</f>
        <v>0.03</v>
      </c>
      <c r="K7" s="11" t="n">
        <f aca="false">IF('Gainsay drivers · Gainsay deman'!J7="","",'Gainsay drivers · Gainsay deman'!J7)</f>
        <v>0.03</v>
      </c>
      <c r="L7" s="11" t="n">
        <f aca="false">IF('Gainsay drivers · Gainsay deman'!K7="","",'Gainsay drivers · Gainsay deman'!K7)</f>
        <v>0.03</v>
      </c>
      <c r="M7" s="11" t="n">
        <f aca="false">IF('Gainsay drivers · Gainsay deman'!L7="","",'Gainsay drivers · Gainsay deman'!L7)</f>
        <v>0.03</v>
      </c>
      <c r="N7" s="11" t="n">
        <f aca="false">IF('Gainsay drivers · Gainsay deman'!M7="","",'Gainsay drivers · Gainsay deman'!M7)</f>
        <v>0.03</v>
      </c>
      <c r="O7" s="11" t="n">
        <f aca="false">IF('Gainsay drivers · Gainsay deman'!N7="","",'Gainsay drivers · Gainsay deman'!N7)</f>
        <v>0.03</v>
      </c>
      <c r="P7" s="11" t="n">
        <f aca="false">IF('Gainsay drivers · Gainsay deman'!O7="","",'Gainsay drivers · Gainsay deman'!O7)</f>
        <v>0.03</v>
      </c>
    </row>
    <row r="8" customFormat="false" ht="18" hidden="false" customHeight="false" outlineLevel="0" collapsed="false">
      <c r="A8" s="9" t="s">
        <v>100</v>
      </c>
      <c r="B8" s="10" t="n">
        <v>10</v>
      </c>
      <c r="C8" s="10" t="n">
        <f aca="false">'Gainsay drivers · Gainsay deman'!B8*(1+'Gainsay drivers · Gainsay deman'!C9)</f>
        <v>10.5</v>
      </c>
      <c r="D8" s="10" t="n">
        <f aca="false">'Gainsay drivers · Gainsay deman'!C8*(1+'Gainsay drivers · Gainsay deman'!D9)</f>
        <v>11.025</v>
      </c>
      <c r="E8" s="10" t="n">
        <f aca="false">'Gainsay drivers · Gainsay deman'!D8*(1+'Gainsay drivers · Gainsay deman'!E9)</f>
        <v>11.57625</v>
      </c>
      <c r="F8" s="10" t="n">
        <f aca="false">'Gainsay drivers · Gainsay deman'!E8*(1+'Gainsay drivers · Gainsay deman'!F9)</f>
        <v>12.1550625</v>
      </c>
      <c r="G8" s="10" t="n">
        <f aca="false">'Gainsay drivers · Gainsay deman'!F8*(1+'Gainsay drivers · Gainsay deman'!G9)</f>
        <v>12.762815625</v>
      </c>
      <c r="H8" s="10" t="n">
        <f aca="false">'Gainsay drivers · Gainsay deman'!G8*(1+'Gainsay drivers · Gainsay deman'!H9)</f>
        <v>13.40095640625</v>
      </c>
      <c r="I8" s="10" t="n">
        <f aca="false">'Gainsay drivers · Gainsay deman'!H8*(1+'Gainsay drivers · Gainsay deman'!I9)</f>
        <v>14.0710042265625</v>
      </c>
      <c r="J8" s="10" t="n">
        <f aca="false">'Gainsay drivers · Gainsay deman'!I8*(1+'Gainsay drivers · Gainsay deman'!J9)</f>
        <v>14.7745544378906</v>
      </c>
      <c r="K8" s="10" t="n">
        <f aca="false">'Gainsay drivers · Gainsay deman'!J8*(1+'Gainsay drivers · Gainsay deman'!K9)</f>
        <v>15.5132821597852</v>
      </c>
      <c r="L8" s="10" t="n">
        <f aca="false">'Gainsay drivers · Gainsay deman'!K8*(1+'Gainsay drivers · Gainsay deman'!L9)</f>
        <v>16.2889462677744</v>
      </c>
      <c r="M8" s="10" t="n">
        <f aca="false">'Gainsay drivers · Gainsay deman'!L8*(1+'Gainsay drivers · Gainsay deman'!M9)</f>
        <v>17.1033935811631</v>
      </c>
      <c r="N8" s="10" t="n">
        <f aca="false">'Gainsay drivers · Gainsay deman'!M8*(1+'Gainsay drivers · Gainsay deman'!N9)</f>
        <v>17.9585632602213</v>
      </c>
      <c r="O8" s="10" t="n">
        <f aca="false">'Gainsay drivers · Gainsay deman'!N8*(1+'Gainsay drivers · Gainsay deman'!O9)</f>
        <v>18.8564914232324</v>
      </c>
      <c r="P8" s="10" t="n">
        <f aca="false">'Gainsay drivers · Gainsay deman'!O8*(1+'Gainsay drivers · Gainsay deman'!P9)</f>
        <v>19.799315994394</v>
      </c>
    </row>
    <row r="9" customFormat="false" ht="18" hidden="false" customHeight="false" outlineLevel="0" collapsed="false">
      <c r="A9" s="7" t="s">
        <v>101</v>
      </c>
      <c r="B9" s="15" t="n">
        <v>0.05</v>
      </c>
      <c r="C9" s="15" t="n">
        <f aca="false">IF('Gainsay drivers · Gainsay deman'!B9="","",'Gainsay drivers · Gainsay deman'!B9)</f>
        <v>0.05</v>
      </c>
      <c r="D9" s="15" t="n">
        <f aca="false">IF('Gainsay drivers · Gainsay deman'!C9="","",'Gainsay drivers · Gainsay deman'!C9)</f>
        <v>0.05</v>
      </c>
      <c r="E9" s="15" t="n">
        <f aca="false">IF('Gainsay drivers · Gainsay deman'!D9="","",'Gainsay drivers · Gainsay deman'!D9)</f>
        <v>0.05</v>
      </c>
      <c r="F9" s="15" t="n">
        <f aca="false">IF('Gainsay drivers · Gainsay deman'!E9="","",'Gainsay drivers · Gainsay deman'!E9)</f>
        <v>0.05</v>
      </c>
      <c r="G9" s="15" t="n">
        <f aca="false">IF('Gainsay drivers · Gainsay deman'!F9="","",'Gainsay drivers · Gainsay deman'!F9)</f>
        <v>0.05</v>
      </c>
      <c r="H9" s="15" t="n">
        <f aca="false">IF('Gainsay drivers · Gainsay deman'!G9="","",'Gainsay drivers · Gainsay deman'!G9)</f>
        <v>0.05</v>
      </c>
      <c r="I9" s="15" t="n">
        <f aca="false">IF('Gainsay drivers · Gainsay deman'!H9="","",'Gainsay drivers · Gainsay deman'!H9)</f>
        <v>0.05</v>
      </c>
      <c r="J9" s="15" t="n">
        <f aca="false">IF('Gainsay drivers · Gainsay deman'!I9="","",'Gainsay drivers · Gainsay deman'!I9)</f>
        <v>0.05</v>
      </c>
      <c r="K9" s="15" t="n">
        <f aca="false">IF('Gainsay drivers · Gainsay deman'!J9="","",'Gainsay drivers · Gainsay deman'!J9)</f>
        <v>0.05</v>
      </c>
      <c r="L9" s="15" t="n">
        <f aca="false">IF('Gainsay drivers · Gainsay deman'!K9="","",'Gainsay drivers · Gainsay deman'!K9)</f>
        <v>0.05</v>
      </c>
      <c r="M9" s="15" t="n">
        <f aca="false">IF('Gainsay drivers · Gainsay deman'!L9="","",'Gainsay drivers · Gainsay deman'!L9)</f>
        <v>0.05</v>
      </c>
      <c r="N9" s="15" t="n">
        <f aca="false">IF('Gainsay drivers · Gainsay deman'!M9="","",'Gainsay drivers · Gainsay deman'!M9)</f>
        <v>0.05</v>
      </c>
      <c r="O9" s="15" t="n">
        <f aca="false">IF('Gainsay drivers · Gainsay deman'!N9="","",'Gainsay drivers · Gainsay deman'!N9)</f>
        <v>0.05</v>
      </c>
      <c r="P9" s="15" t="n">
        <f aca="false">IF('Gainsay drivers · Gainsay deman'!O9="","",'Gainsay drivers · Gainsay deman'!O9)</f>
        <v>0.05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1.5" hidden="false" customHeight="true" outlineLevel="0" collapsed="false">
      <c r="A1" s="3" t="s">
        <v>102</v>
      </c>
      <c r="B1" s="3"/>
    </row>
    <row r="2" customFormat="false" ht="19.5" hidden="false" customHeight="true" outlineLevel="0" collapsed="false">
      <c r="A2" s="4" t="s">
        <v>47</v>
      </c>
    </row>
    <row r="4" customFormat="false" ht="21.75" hidden="false" customHeight="true" outlineLevel="0" collapsed="false">
      <c r="A4" s="5" t="s">
        <v>48</v>
      </c>
      <c r="B4" s="6" t="s">
        <v>49</v>
      </c>
    </row>
    <row r="5" customFormat="false" ht="18" hidden="false" customHeight="false" outlineLevel="0" collapsed="false">
      <c r="A5" s="7" t="s">
        <v>103</v>
      </c>
      <c r="B5" s="16" t="n">
        <f aca="false">'Gainsay drivers · Gainsay fixed'!B5*'Gainsay drivers · Gainsay fixed'!B9</f>
        <v>0.91</v>
      </c>
    </row>
    <row r="6" customFormat="false" ht="18" hidden="false" customHeight="false" outlineLevel="0" collapsed="false">
      <c r="A6" s="9" t="s">
        <v>104</v>
      </c>
      <c r="B6" s="12" t="n">
        <f aca="false">'Gainsay drivers · Gainsay fixed'!B5*15</f>
        <v>0.39</v>
      </c>
    </row>
    <row r="7" customFormat="false" ht="18" hidden="false" customHeight="false" outlineLevel="0" collapsed="false">
      <c r="A7" s="9" t="s">
        <v>105</v>
      </c>
      <c r="B7" s="12" t="n">
        <f aca="false">'Gainsay drivers · Gainsay fixed'!B5*50</f>
        <v>1.3</v>
      </c>
    </row>
    <row r="8" customFormat="false" ht="18" hidden="false" customHeight="false" outlineLevel="0" collapsed="false">
      <c r="A8" s="9" t="s">
        <v>106</v>
      </c>
      <c r="B8" s="12" t="n">
        <f aca="false">'Gainsay drivers · Gainsay fixed'!B6*(1-'Gainsay drivers · Gainsay fixed'!B23)-'Gainsay drivers · Gainsay fixed'!B24-'Gainsay drivers · Gainsay fixed'!B8*'Gainsay drivers · Gainsay prici'!B5</f>
        <v>26.039</v>
      </c>
    </row>
    <row r="9" customFormat="false" ht="18" hidden="false" customHeight="false" outlineLevel="0" collapsed="false">
      <c r="A9" s="9" t="s">
        <v>107</v>
      </c>
      <c r="B9" s="12" t="n">
        <f aca="false">'Gainsay drivers · Gainsay fixed'!B7*(1-'Gainsay drivers · Gainsay fixed'!B23)-'Gainsay drivers · Gainsay fixed'!B24-'Gainsay drivers · Gainsay prici'!B5</f>
        <v>7.529</v>
      </c>
    </row>
    <row r="10" customFormat="false" ht="18" hidden="false" customHeight="false" outlineLevel="0" collapsed="false">
      <c r="A10" s="9" t="s">
        <v>108</v>
      </c>
      <c r="B10" s="12" t="n">
        <f aca="false">'Gainsay drivers · Gainsay fixed'!B15+'Gainsay drivers · Gainsay fixed'!B16+'Gainsay drivers · Gainsay fixed'!B17+'Gainsay drivers · Gainsay fixed'!B18+'Gainsay drivers · Gainsay fixed'!B20/12+'Gainsay drivers · Gainsay fixed'!B19+'Gainsay drivers · Gainsay fixed'!B11*'Gainsay drivers · Gainsay fixed'!B10*'Gainsay drivers · Gainsay fixed'!B5</f>
        <v>1010.6</v>
      </c>
    </row>
    <row r="11" customFormat="false" ht="18" hidden="false" customHeight="false" outlineLevel="0" collapsed="false">
      <c r="A11" s="9" t="s">
        <v>109</v>
      </c>
      <c r="B11" s="10" t="n">
        <f aca="false">CEILING('Gainsay drivers · Gainsay prici'!B10/'Gainsay drivers · Gainsay prici'!B8,1)</f>
        <v>39</v>
      </c>
    </row>
    <row r="12" customFormat="false" ht="18" hidden="false" customHeight="false" outlineLevel="0" collapsed="false">
      <c r="A12" s="9" t="s">
        <v>110</v>
      </c>
      <c r="B12" s="10" t="n">
        <f aca="false">'Gainsay drivers · Gainsay fixed'!B34/'Gainsay drivers · Gainsay fixed'!B35</f>
        <v>0.8125</v>
      </c>
    </row>
    <row r="13" customFormat="false" ht="18" hidden="false" customHeight="false" outlineLevel="0" collapsed="false">
      <c r="A13" s="9" t="s">
        <v>111</v>
      </c>
      <c r="B13" s="12" t="n">
        <f aca="false">'Gainsay drivers · Gainsay fixed'!B21-'Gainsay drivers · Gainsay fixed'!B22</f>
        <v>4500</v>
      </c>
    </row>
    <row r="14" customFormat="false" ht="18" hidden="false" customHeight="false" outlineLevel="0" collapsed="false">
      <c r="A14" s="9" t="s">
        <v>112</v>
      </c>
      <c r="B14" s="12" t="n">
        <f aca="false">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</f>
        <v>-53.1990177423553</v>
      </c>
    </row>
    <row r="15" customFormat="false" ht="18" hidden="false" customHeight="false" outlineLevel="0" collapsed="false">
      <c r="A15" s="9" t="s">
        <v>113</v>
      </c>
      <c r="B15" s="12" t="n">
        <f aca="false">-'Model inputs'!B295</f>
        <v>4553.19901774236</v>
      </c>
    </row>
    <row r="16" customFormat="false" ht="18" hidden="false" customHeight="false" outlineLevel="0" collapsed="false">
      <c r="A16" s="9" t="s">
        <v>114</v>
      </c>
      <c r="B16" s="17" t="n">
        <f aca="false">IF('Model inputs'!B359="","",EDATE(DATE(2026,10,1),IF((IF(AND('Model inputs'!B335="",'Model inputs'!B336="",'Model inputs'!B337="",'Model inputs'!B338="",'Model inputs'!B339="",'Model inputs'!B340="",'Model inputs'!B341="",'Model inputs'!B342="",'Model inputs'!B343="",'Model inputs'!B344="",'Model inputs'!B345="",'Model inputs'!B346="",'Model inputs'!B347="",'Model inputs'!B348="",'Model inputs'!B349="",'Model inputs'!B350="",'Model inputs'!B351="",'Model inputs'!B352="",'Model inputs'!B353="",'Model inputs'!B354="",'Model inputs'!B355="",'Model inputs'!B356="",'Model inputs'!B357="",'Model inputs'!B358=""),"",MIN('Model inputs'!B335,'Model inputs'!B336,'Model inputs'!B337,'Model inputs'!B338,'Model inputs'!B339,'Model inputs'!B340,'Model inputs'!B341,'Model inputs'!B342,'Model inputs'!B343,'Model inputs'!B344,'Model inputs'!B345,'Model inputs'!B346,'Model inputs'!B347,'Model inputs'!B348,'Model inputs'!B349,'Model inputs'!B350,'Model inputs'!B351,'Model inputs'!B352,'Model inputs'!B353,'Model inputs'!B354,'Model inputs'!B355,'Model inputs'!B356,'Model inputs'!B357,'Model inputs'!B358)))="",0,(IF(AND('Model inputs'!B335="",'Model inputs'!B336="",'Model inputs'!B337="",'Model inputs'!B338="",'Model inputs'!B339="",'Model inputs'!B340="",'Model inputs'!B341="",'Model inputs'!B342="",'Model inputs'!B343="",'Model inputs'!B344="",'Model inputs'!B345="",'Model inputs'!B346="",'Model inputs'!B347="",'Model inputs'!B348="",'Model inputs'!B349="",'Model inputs'!B350="",'Model inputs'!B351="",'Model inputs'!B352="",'Model inputs'!B353="",'Model inputs'!B354="",'Model inputs'!B355="",'Model inputs'!B356="",'Model inputs'!B357="",'Model inputs'!B358=""),"",MIN('Model inputs'!B335,'Model inputs'!B336,'Model inputs'!B337,'Model inputs'!B338,'Model inputs'!B339,'Model inputs'!B340,'Model inputs'!B341,'Model inputs'!B342,'Model inputs'!B343,'Model inputs'!B344,'Model inputs'!B345,'Model inputs'!B346,'Model inputs'!B347,'Model inputs'!B348,'Model inputs'!B349,'Model inputs'!B350,'Model inputs'!B351,'Model inputs'!B352,'Model inputs'!B353,'Model inputs'!B354,'Model inputs'!B355,'Model inputs'!B356,'Model inputs'!B357,'Model inputs'!B358))))-1))</f>
        <v>46600</v>
      </c>
    </row>
    <row r="17" customFormat="false" ht="18" hidden="false" customHeight="false" outlineLevel="0" collapsed="false">
      <c r="A17" s="9" t="s">
        <v>115</v>
      </c>
      <c r="B17" s="17" t="n">
        <f aca="false">IF('Model inputs'!B423="","",EDATE(DATE(2026,10,1),IF((IF(AND('Model inputs'!B399="",'Model inputs'!B400="",'Model inputs'!B401="",'Model inputs'!B402="",'Model inputs'!B403="",'Model inputs'!B404="",'Model inputs'!B405="",'Model inputs'!B406="",'Model inputs'!B407="",'Model inputs'!B408="",'Model inputs'!B409="",'Model inputs'!B410="",'Model inputs'!B411="",'Model inputs'!B412="",'Model inputs'!B413="",'Model inputs'!B414="",'Model inputs'!B415="",'Model inputs'!B416="",'Model inputs'!B417="",'Model inputs'!B418="",'Model inputs'!B419="",'Model inputs'!B420="",'Model inputs'!B421="",'Model inputs'!B422=""),"",MIN('Model inputs'!B399,'Model inputs'!B400,'Model inputs'!B401,'Model inputs'!B402,'Model inputs'!B403,'Model inputs'!B404,'Model inputs'!B405,'Model inputs'!B406,'Model inputs'!B407,'Model inputs'!B408,'Model inputs'!B409,'Model inputs'!B410,'Model inputs'!B411,'Model inputs'!B412,'Model inputs'!B413,'Model inputs'!B414,'Model inputs'!B415,'Model inputs'!B416,'Model inputs'!B417,'Model inputs'!B418,'Model inputs'!B419,'Model inputs'!B420,'Model inputs'!B421,'Model inputs'!B422)))="",0,(IF(AND('Model inputs'!B399="",'Model inputs'!B400="",'Model inputs'!B401="",'Model inputs'!B402="",'Model inputs'!B403="",'Model inputs'!B404="",'Model inputs'!B405="",'Model inputs'!B406="",'Model inputs'!B407="",'Model inputs'!B408="",'Model inputs'!B409="",'Model inputs'!B410="",'Model inputs'!B411="",'Model inputs'!B412="",'Model inputs'!B413="",'Model inputs'!B414="",'Model inputs'!B415="",'Model inputs'!B416="",'Model inputs'!B417="",'Model inputs'!B418="",'Model inputs'!B419="",'Model inputs'!B420="",'Model inputs'!B421="",'Model inputs'!B422=""),"",MIN('Model inputs'!B399,'Model inputs'!B400,'Model inputs'!B401,'Model inputs'!B402,'Model inputs'!B403,'Model inputs'!B404,'Model inputs'!B405,'Model inputs'!B406,'Model inputs'!B407,'Model inputs'!B408,'Model inputs'!B409,'Model inputs'!B410,'Model inputs'!B411,'Model inputs'!B412,'Model inputs'!B413,'Model inputs'!B414,'Model inputs'!B415,'Model inputs'!B416,'Model inputs'!B417,'Model inputs'!B418,'Model inputs'!B419,'Model inputs'!B420,'Model inputs'!B421,'Model inputs'!B422))))-1))</f>
        <v>46539</v>
      </c>
    </row>
    <row r="18" customFormat="false" ht="18" hidden="false" customHeight="false" outlineLevel="0" collapsed="false">
      <c r="A18" s="9" t="s">
        <v>116</v>
      </c>
      <c r="B18" s="17" t="n">
        <f aca="false">IF('Model inputs'!B496="","",EDATE(DATE(2026,10,1),IF((IF(AND('Model inputs'!B472="",'Model inputs'!B473="",'Model inputs'!B474="",'Model inputs'!B475="",'Model inputs'!B476="",'Model inputs'!B477="",'Model inputs'!B478="",'Model inputs'!B479="",'Model inputs'!B480="",'Model inputs'!B481="",'Model inputs'!B482="",'Model inputs'!B483="",'Model inputs'!B484="",'Model inputs'!B485="",'Model inputs'!B486="",'Model inputs'!B487="",'Model inputs'!B488="",'Model inputs'!B489="",'Model inputs'!B490="",'Model inputs'!B491="",'Model inputs'!B492="",'Model inputs'!B493="",'Model inputs'!B494="",'Model inputs'!B495=""),"",MIN('Model inputs'!B472,'Model inputs'!B473,'Model inputs'!B474,'Model inputs'!B475,'Model inputs'!B476,'Model inputs'!B477,'Model inputs'!B478,'Model inputs'!B479,'Model inputs'!B480,'Model inputs'!B481,'Model inputs'!B482,'Model inputs'!B483,'Model inputs'!B484,'Model inputs'!B485,'Model inputs'!B486,'Model inputs'!B487,'Model inputs'!B488,'Model inputs'!B489,'Model inputs'!B490,'Model inputs'!B491,'Model inputs'!B492,'Model inputs'!B493,'Model inputs'!B494,'Model inputs'!B495)))="",0,(IF(AND('Model inputs'!B472="",'Model inputs'!B473="",'Model inputs'!B474="",'Model inputs'!B475="",'Model inputs'!B476="",'Model inputs'!B477="",'Model inputs'!B478="",'Model inputs'!B479="",'Model inputs'!B480="",'Model inputs'!B481="",'Model inputs'!B482="",'Model inputs'!B483="",'Model inputs'!B484="",'Model inputs'!B485="",'Model inputs'!B486="",'Model inputs'!B487="",'Model inputs'!B488="",'Model inputs'!B489="",'Model inputs'!B490="",'Model inputs'!B491="",'Model inputs'!B492="",'Model inputs'!B493="",'Model inputs'!B494="",'Model inputs'!B495=""),"",MIN('Model inputs'!B472,'Model inputs'!B473,'Model inputs'!B474,'Model inputs'!B475,'Model inputs'!B476,'Model inputs'!B477,'Model inputs'!B478,'Model inputs'!B479,'Model inputs'!B480,'Model inputs'!B481,'Model inputs'!B482,'Model inputs'!B483,'Model inputs'!B484,'Model inputs'!B485,'Model inputs'!B486,'Model inputs'!B487,'Model inputs'!B488,'Model inputs'!B489,'Model inputs'!B490,'Model inputs'!B491,'Model inputs'!B492,'Model inputs'!B493,'Model inputs'!B494,'Model inputs'!B495))))-1))</f>
        <v>46569</v>
      </c>
    </row>
    <row r="19" customFormat="false" ht="18" hidden="false" customHeight="false" outlineLevel="0" collapsed="false">
      <c r="A19" s="9" t="s">
        <v>117</v>
      </c>
      <c r="B19" s="17" t="n">
        <f aca="false">IF('Model inputs'!B560="","",EDATE(DATE(2026,10,1),IF((IF(AND('Model inputs'!B536="",'Model inputs'!B537="",'Model inputs'!B538="",'Model inputs'!B539="",'Model inputs'!B540="",'Model inputs'!B541="",'Model inputs'!B542="",'Model inputs'!B543="",'Model inputs'!B544="",'Model inputs'!B545="",'Model inputs'!B546="",'Model inputs'!B547="",'Model inputs'!B548="",'Model inputs'!B549="",'Model inputs'!B550="",'Model inputs'!B551="",'Model inputs'!B552="",'Model inputs'!B553="",'Model inputs'!B554="",'Model inputs'!B555="",'Model inputs'!B556="",'Model inputs'!B557="",'Model inputs'!B558="",'Model inputs'!B559=""),"",MIN('Model inputs'!B536,'Model inputs'!B537,'Model inputs'!B538,'Model inputs'!B539,'Model inputs'!B540,'Model inputs'!B541,'Model inputs'!B542,'Model inputs'!B543,'Model inputs'!B544,'Model inputs'!B545,'Model inputs'!B546,'Model inputs'!B547,'Model inputs'!B548,'Model inputs'!B549,'Model inputs'!B550,'Model inputs'!B551,'Model inputs'!B552,'Model inputs'!B553,'Model inputs'!B554,'Model inputs'!B555,'Model inputs'!B556,'Model inputs'!B557,'Model inputs'!B558,'Model inputs'!B559)))="",0,(IF(AND('Model inputs'!B536="",'Model inputs'!B537="",'Model inputs'!B538="",'Model inputs'!B539="",'Model inputs'!B540="",'Model inputs'!B541="",'Model inputs'!B542="",'Model inputs'!B543="",'Model inputs'!B544="",'Model inputs'!B545="",'Model inputs'!B546="",'Model inputs'!B547="",'Model inputs'!B548="",'Model inputs'!B549="",'Model inputs'!B550="",'Model inputs'!B551="",'Model inputs'!B552="",'Model inputs'!B553="",'Model inputs'!B554="",'Model inputs'!B555="",'Model inputs'!B556="",'Model inputs'!B557="",'Model inputs'!B558="",'Model inputs'!B559=""),"",MIN('Model inputs'!B536,'Model inputs'!B537,'Model inputs'!B538,'Model inputs'!B539,'Model inputs'!B540,'Model inputs'!B541,'Model inputs'!B542,'Model inputs'!B543,'Model inputs'!B544,'Model inputs'!B545,'Model inputs'!B546,'Model inputs'!B547,'Model inputs'!B548,'Model inputs'!B549,'Model inputs'!B550,'Model inputs'!B551,'Model inputs'!B552,'Model inputs'!B553,'Model inputs'!B554,'Model inputs'!B555,'Model inputs'!B556,'Model inputs'!B557,'Model inputs'!B558,'Model inputs'!B559))))-1))</f>
        <v>46388</v>
      </c>
    </row>
    <row r="20" customFormat="false" ht="18" hidden="false" customHeight="false" outlineLevel="0" collapsed="false">
      <c r="A20" s="9" t="s">
        <v>118</v>
      </c>
      <c r="B20" s="17" t="n">
        <f aca="false">IF('Model inputs'!B624="","",EDATE(DATE(2026,10,1),IF((IF(AND('Model inputs'!B600="",'Model inputs'!B601="",'Model inputs'!B602="",'Model inputs'!B603="",'Model inputs'!B604="",'Model inputs'!B605="",'Model inputs'!B606="",'Model inputs'!B607="",'Model inputs'!B608="",'Model inputs'!B609="",'Model inputs'!B610="",'Model inputs'!B611="",'Model inputs'!B612="",'Model inputs'!B613="",'Model inputs'!B614="",'Model inputs'!B615="",'Model inputs'!B616="",'Model inputs'!B617="",'Model inputs'!B618="",'Model inputs'!B619="",'Model inputs'!B620="",'Model inputs'!B621="",'Model inputs'!B622="",'Model inputs'!B623=""),"",MIN('Model inputs'!B600,'Model inputs'!B601,'Model inputs'!B602,'Model inputs'!B603,'Model inputs'!B604,'Model inputs'!B605,'Model inputs'!B606,'Model inputs'!B607,'Model inputs'!B608,'Model inputs'!B609,'Model inputs'!B610,'Model inputs'!B611,'Model inputs'!B612,'Model inputs'!B613,'Model inputs'!B614,'Model inputs'!B615,'Model inputs'!B616,'Model inputs'!B617,'Model inputs'!B618,'Model inputs'!B619,'Model inputs'!B620,'Model inputs'!B621,'Model inputs'!B622,'Model inputs'!B623)))="",0,(IF(AND('Model inputs'!B600="",'Model inputs'!B601="",'Model inputs'!B602="",'Model inputs'!B603="",'Model inputs'!B604="",'Model inputs'!B605="",'Model inputs'!B606="",'Model inputs'!B607="",'Model inputs'!B608="",'Model inputs'!B609="",'Model inputs'!B610="",'Model inputs'!B611="",'Model inputs'!B612="",'Model inputs'!B613="",'Model inputs'!B614="",'Model inputs'!B615="",'Model inputs'!B616="",'Model inputs'!B617="",'Model inputs'!B618="",'Model inputs'!B619="",'Model inputs'!B620="",'Model inputs'!B621="",'Model inputs'!B622="",'Model inputs'!B623=""),"",MIN('Model inputs'!B600,'Model inputs'!B601,'Model inputs'!B602,'Model inputs'!B603,'Model inputs'!B604,'Model inputs'!B605,'Model inputs'!B606,'Model inputs'!B607,'Model inputs'!B608,'Model inputs'!B609,'Model inputs'!B610,'Model inputs'!B611,'Model inputs'!B612,'Model inputs'!B613,'Model inputs'!B614,'Model inputs'!B615,'Model inputs'!B616,'Model inputs'!B617,'Model inputs'!B618,'Model inputs'!B619,'Model inputs'!B620,'Model inputs'!B621,'Model inputs'!B622,'Model inputs'!B623))))-1))</f>
        <v>46569</v>
      </c>
    </row>
    <row r="21" customFormat="false" ht="18" hidden="false" customHeight="false" outlineLevel="0" collapsed="false">
      <c r="A21" s="9" t="s">
        <v>119</v>
      </c>
      <c r="B21" s="12" t="n">
        <f aca="false">'Gainsay drivers · Gainsay fixed'!B31*('Gainsay drivers · Gainsay prici'!B10+'Gainsay drivers · Gainsay fixed'!B30)</f>
        <v>3031.8</v>
      </c>
    </row>
    <row r="22" customFormat="false" ht="18" hidden="false" customHeight="false" outlineLevel="0" collapsed="false">
      <c r="A22" s="9" t="s">
        <v>120</v>
      </c>
      <c r="B22" s="12" t="n">
        <f aca="false">'Gainsay drivers · Gainsay fixed'!B21+'Gainsay drivers · Gainsay prici'!B21-'Gainsay drivers · Gainsay prici'!B14</f>
        <v>8084.99901774236</v>
      </c>
    </row>
    <row r="23" customFormat="false" ht="18" hidden="false" customHeight="false" outlineLevel="0" collapsed="false">
      <c r="A23" s="9" t="s">
        <v>121</v>
      </c>
      <c r="B23" s="12" t="n">
        <f aca="false">CEILING('Gainsay drivers · Gainsay prici'!B22,'Gainsay drivers · Gainsay fixed'!B33)</f>
        <v>8500</v>
      </c>
    </row>
    <row r="24" customFormat="false" ht="18" hidden="false" customHeight="false" outlineLevel="0" collapsed="false">
      <c r="A24" s="9" t="s">
        <v>122</v>
      </c>
      <c r="B24" s="12" t="n">
        <f aca="false">'Gainsay drivers · Gainsay fixed'!B21+'Gainsay drivers · Gainsay prici'!B21-MIN('Gainsay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</f>
        <v>10248.4055471419</v>
      </c>
    </row>
    <row r="25" customFormat="false" ht="18" hidden="false" customHeight="false" outlineLevel="0" collapsed="false">
      <c r="A25" s="9" t="s">
        <v>123</v>
      </c>
      <c r="B25" s="12" t="n">
        <f aca="false">CEILING('Gainsay drivers · Gainsay prici'!B24,'Gainsay drivers · Gainsay fixed'!B33)</f>
        <v>10500</v>
      </c>
    </row>
    <row r="26" customFormat="false" ht="18" hidden="false" customHeight="false" outlineLevel="0" collapsed="false">
      <c r="A26" s="9" t="s">
        <v>124</v>
      </c>
      <c r="B26" s="10" t="n">
        <f aca="false">((39*'Gainsay drivers · Gainsay fixed'!B8+'Gainsay drivers · Gainsay deman'!B8)*'Gainsay drivers · Gainsay fixed'!B9+'Gainsay drivers · Gainsay fixed'!B11*'Gainsay drivers · Gainsay fixed'!B10)*'Gainsay drivers · Gainsay fixed'!B12/'Gainsay drivers · Gainsay fixed'!B32+39*'Gainsay drivers · Gainsay fixed'!B14</f>
        <v>281.105263157895</v>
      </c>
    </row>
    <row r="27" customFormat="false" ht="18" hidden="false" customHeight="false" outlineLevel="0" collapsed="false">
      <c r="A27" s="7" t="s">
        <v>125</v>
      </c>
      <c r="B27" s="13" t="n">
        <f aca="false">(39*'Gainsay drivers · Gainsay fixed'!B8*'Gainsay drivers · Gainsay fixed'!B9+'Gainsay drivers · Gainsay fixed'!B11*'Gainsay drivers · Gainsay fixed'!B10)*'Gainsay drivers · Gainsay fixed'!B12/'Gainsay drivers · Gainsay fixed'!B32+39*'Gainsay drivers · Gainsay fixed'!B14</f>
        <v>258.078947368421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9"/>
  </cols>
  <sheetData>
    <row r="1" customFormat="false" ht="31.5" hidden="false" customHeight="true" outlineLevel="0" collapsed="false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9.5" hidden="false" customHeight="true" outlineLevel="0" collapsed="false">
      <c r="A2" s="4" t="s">
        <v>47</v>
      </c>
    </row>
    <row r="4" customFormat="false" ht="21.75" hidden="false" customHeight="true" outlineLevel="0" collapsed="false">
      <c r="A4" s="5" t="s">
        <v>48</v>
      </c>
      <c r="B4" s="6" t="s">
        <v>127</v>
      </c>
      <c r="C4" s="6" t="s">
        <v>128</v>
      </c>
      <c r="D4" s="6" t="s">
        <v>129</v>
      </c>
      <c r="E4" s="6" t="s">
        <v>130</v>
      </c>
      <c r="F4" s="6" t="s">
        <v>131</v>
      </c>
      <c r="G4" s="6" t="s">
        <v>132</v>
      </c>
      <c r="H4" s="6" t="s">
        <v>133</v>
      </c>
      <c r="I4" s="6" t="s">
        <v>134</v>
      </c>
      <c r="J4" s="6" t="s">
        <v>135</v>
      </c>
    </row>
    <row r="5" customFormat="false" ht="18" hidden="false" customHeight="false" outlineLevel="0" collapsed="false">
      <c r="A5" s="7" t="s">
        <v>136</v>
      </c>
      <c r="B5" s="18" t="n">
        <v>10000</v>
      </c>
      <c r="C5" s="16" t="n">
        <f aca="false">'Gainsay drivers · Gainsay prici'!B10+('Gainsay drivers · Gainsay data-'!B5-'Gainsay drivers · Gainsay fixed'!B20)/12</f>
        <v>1593.93333333333</v>
      </c>
      <c r="D5" s="13" t="n">
        <f aca="false">CEILING('Gainsay drivers · Gainsay data-'!C5/'Gainsay drivers · Gainsay prici'!B8,1)</f>
        <v>62</v>
      </c>
      <c r="E5" s="13" t="n">
        <f aca="false">IF(IF(IF(ISERROR('Gainsay drivers · Gainsay data-'!D5&gt;='Gainsay drivers · Gainsay fixed'!B27),'Gainsay drivers · Gainsay data-'!D5&gt;='Gainsay drivers · Gainsay fixed'!B27,IF(OR('Gainsay drivers · Gainsay data-'!D5="",'Gainsay drivers · Gainsay fixed'!B27=""),"",'Gainsay drivers · Gainsay data-'!D5&gt;='Gainsay drivers · Gainsay fixed'!B27))="",FALSE(),IF(ISERROR('Gainsay drivers · Gainsay data-'!D5&gt;='Gainsay drivers · Gainsay fixed'!B27),'Gainsay drivers · Gainsay data-'!D5&gt;='Gainsay drivers · Gainsay fixed'!B27,IF(OR('Gainsay drivers · Gainsay data-'!D5="",'Gainsay drivers · Gainsay fixed'!B27=""),"",'Gainsay drivers · Gainsay data-'!D5&gt;='Gainsay drivers · Gainsay fixed'!B27))),CEILING(('Gainsay drivers · Gainsay data-'!C5+'Gainsay drivers · Gainsay fixed'!B28+'Gainsay drivers · Gainsay fixed'!B30)/'Gainsay drivers · Gainsay prici'!B8,1),CEILING(('Gainsay drivers · Gainsay data-'!C5+'Gainsay drivers · Gainsay fixed'!B30)/'Gainsay drivers · Gainsay prici'!B8,1))</f>
        <v>77</v>
      </c>
      <c r="F5" s="19" t="str">
        <f aca="false">IF('Model inputs'!B688="","",EDATE(DATE(2026,10,1),IF((IF(AND('Model inputs'!B664="",'Model inputs'!B665="",'Model inputs'!B666="",'Model inputs'!B667="",'Model inputs'!B668="",'Model inputs'!B669="",'Model inputs'!B670="",'Model inputs'!B671="",'Model inputs'!B672="",'Model inputs'!B673="",'Model inputs'!B674="",'Model inputs'!B675="",'Model inputs'!B676="",'Model inputs'!B677="",'Model inputs'!B678="",'Model inputs'!B679="",'Model inputs'!B680="",'Model inputs'!B681="",'Model inputs'!B682="",'Model inputs'!B683="",'Model inputs'!B684="",'Model inputs'!B685="",'Model inputs'!B686="",'Model inputs'!B687=""),"",MIN('Model inputs'!B664,'Model inputs'!B665,'Model inputs'!B666,'Model inputs'!B667,'Model inputs'!B668,'Model inputs'!B669,'Model inputs'!B670,'Model inputs'!B671,'Model inputs'!B672,'Model inputs'!B673,'Model inputs'!B674,'Model inputs'!B675,'Model inputs'!B676,'Model inputs'!B677,'Model inputs'!B678,'Model inputs'!B679,'Model inputs'!B680,'Model inputs'!B681,'Model inputs'!B682,'Model inputs'!B683,'Model inputs'!B684,'Model inputs'!B685,'Model inputs'!B686,'Model inputs'!B687)))="",0,(IF(AND('Model inputs'!B664="",'Model inputs'!B665="",'Model inputs'!B666="",'Model inputs'!B667="",'Model inputs'!B668="",'Model inputs'!B669="",'Model inputs'!B670="",'Model inputs'!B671="",'Model inputs'!B672="",'Model inputs'!B673="",'Model inputs'!B674="",'Model inputs'!B675="",'Model inputs'!B676="",'Model inputs'!B677="",'Model inputs'!B678="",'Model inputs'!B679="",'Model inputs'!B680="",'Model inputs'!B681="",'Model inputs'!B682="",'Model inputs'!B683="",'Model inputs'!B684="",'Model inputs'!B685="",'Model inputs'!B686="",'Model inputs'!B687=""),"",MIN('Model inputs'!B664,'Model inputs'!B665,'Model inputs'!B666,'Model inputs'!B667,'Model inputs'!B668,'Model inputs'!B669,'Model inputs'!B670,'Model inputs'!B671,'Model inputs'!B672,'Model inputs'!B673,'Model inputs'!B674,'Model inputs'!B675,'Model inputs'!B676,'Model inputs'!B677,'Model inputs'!B678,'Model inputs'!B679,'Model inputs'!B680,'Model inputs'!B681,'Model inputs'!B682,'Model inputs'!B683,'Model inputs'!B684,'Model inputs'!B685,'Model inputs'!B686,'Model inputs'!B687))))-1))</f>
        <v/>
      </c>
      <c r="G5" s="16" t="n">
        <f aca="false">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</f>
        <v>-7639.25778914085</v>
      </c>
      <c r="H5" s="20" t="n">
        <f aca="false">IF('Model inputs'!B761="","",EDATE(DATE(2026,10,1),IF((IF(AND('Model inputs'!B737="",'Model inputs'!B738="",'Model inputs'!B739="",'Model inputs'!B740="",'Model inputs'!B741="",'Model inputs'!B742="",'Model inputs'!B743="",'Model inputs'!B744="",'Model inputs'!B745="",'Model inputs'!B746="",'Model inputs'!B747="",'Model inputs'!B748="",'Model inputs'!B749="",'Model inputs'!B750="",'Model inputs'!B751="",'Model inputs'!B752="",'Model inputs'!B753="",'Model inputs'!B754="",'Model inputs'!B755="",'Model inputs'!B756="",'Model inputs'!B757="",'Model inputs'!B758="",'Model inputs'!B759="",'Model inputs'!B760=""),"",MIN('Model inputs'!B737,'Model inputs'!B738,'Model inputs'!B739,'Model inputs'!B740,'Model inputs'!B741,'Model inputs'!B742,'Model inputs'!B743,'Model inputs'!B744,'Model inputs'!B745,'Model inputs'!B746,'Model inputs'!B747,'Model inputs'!B748,'Model inputs'!B749,'Model inputs'!B750,'Model inputs'!B751,'Model inputs'!B752,'Model inputs'!B753,'Model inputs'!B754,'Model inputs'!B755,'Model inputs'!B756,'Model inputs'!B757,'Model inputs'!B758,'Model inputs'!B759,'Model inputs'!B760)))="",0,(IF(AND('Model inputs'!B737="",'Model inputs'!B738="",'Model inputs'!B739="",'Model inputs'!B740="",'Model inputs'!B741="",'Model inputs'!B742="",'Model inputs'!B743="",'Model inputs'!B744="",'Model inputs'!B745="",'Model inputs'!B746="",'Model inputs'!B747="",'Model inputs'!B748="",'Model inputs'!B749="",'Model inputs'!B750="",'Model inputs'!B751="",'Model inputs'!B752="",'Model inputs'!B753="",'Model inputs'!B754="",'Model inputs'!B755="",'Model inputs'!B756="",'Model inputs'!B757="",'Model inputs'!B758="",'Model inputs'!B759="",'Model inputs'!B760=""),"",MIN('Model inputs'!B737,'Model inputs'!B738,'Model inputs'!B739,'Model inputs'!B740,'Model inputs'!B741,'Model inputs'!B742,'Model inputs'!B743,'Model inputs'!B744,'Model inputs'!B745,'Model inputs'!B746,'Model inputs'!B747,'Model inputs'!B748,'Model inputs'!B749,'Model inputs'!B750,'Model inputs'!B751,'Model inputs'!B752,'Model inputs'!B753,'Model inputs'!B754,'Model inputs'!B755,'Model inputs'!B756,'Model inputs'!B757,'Model inputs'!B758,'Model inputs'!B759,'Model inputs'!B760))))-1))</f>
        <v>46722</v>
      </c>
      <c r="I5" s="16" t="n">
        <f aca="false">CEILING('Gainsay drivers · Gainsay fixed'!B21+'Gainsay drivers · Gainsay fixed'!B31*('Gainsay drivers · Gainsay data-'!C5+'Gainsay drivers · Gainsay fixed'!B30)-'Gainsay drivers · Gainsay data-'!G5,'Gainsay drivers · Gainsay fixed'!B33)</f>
        <v>17500</v>
      </c>
      <c r="J5" s="19" t="str">
        <f aca="false">IF('Gainsay drivers · Gainsay data-'!F5="","Not reached through December 2027","Reached")</f>
        <v>Not reached through December 2027</v>
      </c>
    </row>
    <row r="6" customFormat="false" ht="18" hidden="false" customHeight="false" outlineLevel="0" collapsed="false">
      <c r="A6" s="9" t="s">
        <v>137</v>
      </c>
      <c r="B6" s="21" t="n">
        <v>3000</v>
      </c>
      <c r="C6" s="12" t="n">
        <f aca="false">'Gainsay drivers · Gainsay prici'!B10+('Gainsay drivers · Gainsay data-'!B6-'Gainsay drivers · Gainsay fixed'!B20)/12</f>
        <v>1010.6</v>
      </c>
      <c r="D6" s="10" t="n">
        <f aca="false">CEILING('Gainsay drivers · Gainsay data-'!C6/'Gainsay drivers · Gainsay prici'!B8,1)</f>
        <v>39</v>
      </c>
      <c r="E6" s="10" t="n">
        <f aca="false">IF(IF(IF(ISERROR('Gainsay drivers · Gainsay data-'!D6&gt;='Gainsay drivers · Gainsay fixed'!B27),'Gainsay drivers · Gainsay data-'!D6&gt;='Gainsay drivers · Gainsay fixed'!B27,IF(OR('Gainsay drivers · Gainsay data-'!D6="",'Gainsay drivers · Gainsay fixed'!B27=""),"",'Gainsay drivers · Gainsay data-'!D6&gt;='Gainsay drivers · Gainsay fixed'!B27))="",FALSE(),IF(ISERROR('Gainsay drivers · Gainsay data-'!D6&gt;='Gainsay drivers · Gainsay fixed'!B27),'Gainsay drivers · Gainsay data-'!D6&gt;='Gainsay drivers · Gainsay fixed'!B27,IF(OR('Gainsay drivers · Gainsay data-'!D6="",'Gainsay drivers · Gainsay fixed'!B27=""),"",'Gainsay drivers · Gainsay data-'!D6&gt;='Gainsay drivers · Gainsay fixed'!B27))),CEILING(('Gainsay drivers · Gainsay data-'!C6+'Gainsay drivers · Gainsay fixed'!B28+'Gainsay drivers · Gainsay fixed'!B30)/'Gainsay drivers · Gainsay prici'!B8,1),CEILING(('Gainsay drivers · Gainsay data-'!C6+'Gainsay drivers · Gainsay fixed'!B30)/'Gainsay drivers · Gainsay prici'!B8,1))</f>
        <v>39</v>
      </c>
      <c r="F6" s="17" t="n">
        <f aca="false">IF('Model inputs'!B825="","",EDATE(DATE(2026,10,1),IF((IF(AND('Model inputs'!B801="",'Model inputs'!B802="",'Model inputs'!B803="",'Model inputs'!B804="",'Model inputs'!B805="",'Model inputs'!B806="",'Model inputs'!B807="",'Model inputs'!B808="",'Model inputs'!B809="",'Model inputs'!B810="",'Model inputs'!B811="",'Model inputs'!B812="",'Model inputs'!B813="",'Model inputs'!B814="",'Model inputs'!B815="",'Model inputs'!B816="",'Model inputs'!B817="",'Model inputs'!B818="",'Model inputs'!B819="",'Model inputs'!B820="",'Model inputs'!B821="",'Model inputs'!B822="",'Model inputs'!B823="",'Model inputs'!B824=""),"",MIN('Model inputs'!B801,'Model inputs'!B802,'Model inputs'!B803,'Model inputs'!B804,'Model inputs'!B805,'Model inputs'!B806,'Model inputs'!B807,'Model inputs'!B808,'Model inputs'!B809,'Model inputs'!B810,'Model inputs'!B811,'Model inputs'!B812,'Model inputs'!B813,'Model inputs'!B814,'Model inputs'!B815,'Model inputs'!B816,'Model inputs'!B817,'Model inputs'!B818,'Model inputs'!B819,'Model inputs'!B820,'Model inputs'!B821,'Model inputs'!B822,'Model inputs'!B823,'Model inputs'!B824)))="",0,(IF(AND('Model inputs'!B801="",'Model inputs'!B802="",'Model inputs'!B803="",'Model inputs'!B804="",'Model inputs'!B805="",'Model inputs'!B806="",'Model inputs'!B807="",'Model inputs'!B808="",'Model inputs'!B809="",'Model inputs'!B810="",'Model inputs'!B811="",'Model inputs'!B812="",'Model inputs'!B813="",'Model inputs'!B814="",'Model inputs'!B815="",'Model inputs'!B816="",'Model inputs'!B817="",'Model inputs'!B818="",'Model inputs'!B819="",'Model inputs'!B820="",'Model inputs'!B821="",'Model inputs'!B822="",'Model inputs'!B823="",'Model inputs'!B824=""),"",MIN('Model inputs'!B801,'Model inputs'!B802,'Model inputs'!B803,'Model inputs'!B804,'Model inputs'!B805,'Model inputs'!B806,'Model inputs'!B807,'Model inputs'!B808,'Model inputs'!B809,'Model inputs'!B810,'Model inputs'!B811,'Model inputs'!B812,'Model inputs'!B813,'Model inputs'!B814,'Model inputs'!B815,'Model inputs'!B816,'Model inputs'!B817,'Model inputs'!B818,'Model inputs'!B819,'Model inputs'!B820,'Model inputs'!B821,'Model inputs'!B822,'Model inputs'!B823,'Model inputs'!B824))))-1))</f>
        <v>46600</v>
      </c>
      <c r="G6" s="12" t="n">
        <f aca="false">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</f>
        <v>-53.1990177423553</v>
      </c>
      <c r="H6" s="17" t="n">
        <f aca="false">IF('Model inputs'!B898="","",EDATE(DATE(2026,10,1),IF((IF(AND('Model inputs'!B874="",'Model inputs'!B875="",'Model inputs'!B876="",'Model inputs'!B877="",'Model inputs'!B878="",'Model inputs'!B879="",'Model inputs'!B880="",'Model inputs'!B881="",'Model inputs'!B882="",'Model inputs'!B883="",'Model inputs'!B884="",'Model inputs'!B885="",'Model inputs'!B886="",'Model inputs'!B887="",'Model inputs'!B888="",'Model inputs'!B889="",'Model inputs'!B890="",'Model inputs'!B891="",'Model inputs'!B892="",'Model inputs'!B893="",'Model inputs'!B894="",'Model inputs'!B895="",'Model inputs'!B896="",'Model inputs'!B897=""),"",MIN('Model inputs'!B874,'Model inputs'!B875,'Model inputs'!B876,'Model inputs'!B877,'Model inputs'!B878,'Model inputs'!B879,'Model inputs'!B880,'Model inputs'!B881,'Model inputs'!B882,'Model inputs'!B883,'Model inputs'!B884,'Model inputs'!B885,'Model inputs'!B886,'Model inputs'!B887,'Model inputs'!B888,'Model inputs'!B889,'Model inputs'!B890,'Model inputs'!B891,'Model inputs'!B892,'Model inputs'!B893,'Model inputs'!B894,'Model inputs'!B895,'Model inputs'!B896,'Model inputs'!B897)))="",0,(IF(AND('Model inputs'!B874="",'Model inputs'!B875="",'Model inputs'!B876="",'Model inputs'!B877="",'Model inputs'!B878="",'Model inputs'!B879="",'Model inputs'!B880="",'Model inputs'!B881="",'Model inputs'!B882="",'Model inputs'!B883="",'Model inputs'!B884="",'Model inputs'!B885="",'Model inputs'!B886="",'Model inputs'!B887="",'Model inputs'!B888="",'Model inputs'!B889="",'Model inputs'!B890="",'Model inputs'!B891="",'Model inputs'!B892="",'Model inputs'!B893="",'Model inputs'!B894="",'Model inputs'!B895="",'Model inputs'!B896="",'Model inputs'!B897=""),"",MIN('Model inputs'!B874,'Model inputs'!B875,'Model inputs'!B876,'Model inputs'!B877,'Model inputs'!B878,'Model inputs'!B879,'Model inputs'!B880,'Model inputs'!B881,'Model inputs'!B882,'Model inputs'!B883,'Model inputs'!B884,'Model inputs'!B885,'Model inputs'!B886,'Model inputs'!B887,'Model inputs'!B888,'Model inputs'!B889,'Model inputs'!B890,'Model inputs'!B891,'Model inputs'!B892,'Model inputs'!B893,'Model inputs'!B894,'Model inputs'!B895,'Model inputs'!B896,'Model inputs'!B897))))-1))</f>
        <v>46569</v>
      </c>
      <c r="I6" s="12" t="n">
        <f aca="false">CEILING('Gainsay drivers · Gainsay fixed'!B21+'Gainsay drivers · Gainsay fixed'!B31*('Gainsay drivers · Gainsay data-'!C6+'Gainsay drivers · Gainsay fixed'!B30)-'Gainsay drivers · Gainsay data-'!G6,'Gainsay drivers · Gainsay fixed'!B33)</f>
        <v>8500</v>
      </c>
      <c r="J6" s="22" t="str">
        <f aca="false">IF('Gainsay drivers · Gainsay data-'!F6="","Not reached through December 2027","Reached")</f>
        <v>Reached</v>
      </c>
    </row>
    <row r="7" customFormat="false" ht="18" hidden="false" customHeight="false" outlineLevel="0" collapsed="false">
      <c r="A7" s="7" t="s">
        <v>138</v>
      </c>
      <c r="B7" s="18" t="n">
        <v>0</v>
      </c>
      <c r="C7" s="16" t="n">
        <f aca="false">'Gainsay drivers · Gainsay prici'!B10+('Gainsay drivers · Gainsay data-'!B7-'Gainsay drivers · Gainsay fixed'!B20)/12</f>
        <v>760.6</v>
      </c>
      <c r="D7" s="13" t="n">
        <f aca="false">CEILING('Gainsay drivers · Gainsay data-'!C7/'Gainsay drivers · Gainsay prici'!B8,1)</f>
        <v>30</v>
      </c>
      <c r="E7" s="13" t="n">
        <f aca="false">IF(IF(IF(ISERROR('Gainsay drivers · Gainsay data-'!D7&gt;='Gainsay drivers · Gainsay fixed'!B27),'Gainsay drivers · Gainsay data-'!D7&gt;='Gainsay drivers · Gainsay fixed'!B27,IF(OR('Gainsay drivers · Gainsay data-'!D7="",'Gainsay drivers · Gainsay fixed'!B27=""),"",'Gainsay drivers · Gainsay data-'!D7&gt;='Gainsay drivers · Gainsay fixed'!B27))="",FALSE(),IF(ISERROR('Gainsay drivers · Gainsay data-'!D7&gt;='Gainsay drivers · Gainsay fixed'!B27),'Gainsay drivers · Gainsay data-'!D7&gt;='Gainsay drivers · Gainsay fixed'!B27,IF(OR('Gainsay drivers · Gainsay data-'!D7="",'Gainsay drivers · Gainsay fixed'!B27=""),"",'Gainsay drivers · Gainsay data-'!D7&gt;='Gainsay drivers · Gainsay fixed'!B27))),CEILING(('Gainsay drivers · Gainsay data-'!C7+'Gainsay drivers · Gainsay fixed'!B28+'Gainsay drivers · Gainsay fixed'!B30)/'Gainsay drivers · Gainsay prici'!B8,1),CEILING(('Gainsay drivers · Gainsay data-'!C7+'Gainsay drivers · Gainsay fixed'!B30)/'Gainsay drivers · Gainsay prici'!B8,1))</f>
        <v>30</v>
      </c>
      <c r="F7" s="20" t="n">
        <f aca="false">IF('Model inputs'!B962="","",EDATE(DATE(2026,10,1),IF((IF(AND('Model inputs'!B938="",'Model inputs'!B939="",'Model inputs'!B940="",'Model inputs'!B941="",'Model inputs'!B942="",'Model inputs'!B943="",'Model inputs'!B944="",'Model inputs'!B945="",'Model inputs'!B946="",'Model inputs'!B947="",'Model inputs'!B948="",'Model inputs'!B949="",'Model inputs'!B950="",'Model inputs'!B951="",'Model inputs'!B952="",'Model inputs'!B953="",'Model inputs'!B954="",'Model inputs'!B955="",'Model inputs'!B956="",'Model inputs'!B957="",'Model inputs'!B958="",'Model inputs'!B959="",'Model inputs'!B960="",'Model inputs'!B961=""),"",MIN('Model inputs'!B938,'Model inputs'!B939,'Model inputs'!B940,'Model inputs'!B941,'Model inputs'!B942,'Model inputs'!B943,'Model inputs'!B944,'Model inputs'!B945,'Model inputs'!B946,'Model inputs'!B947,'Model inputs'!B948,'Model inputs'!B949,'Model inputs'!B950,'Model inputs'!B951,'Model inputs'!B952,'Model inputs'!B953,'Model inputs'!B954,'Model inputs'!B955,'Model inputs'!B956,'Model inputs'!B957,'Model inputs'!B958,'Model inputs'!B959,'Model inputs'!B960,'Model inputs'!B961)))="",0,(IF(AND('Model inputs'!B938="",'Model inputs'!B939="",'Model inputs'!B940="",'Model inputs'!B941="",'Model inputs'!B942="",'Model inputs'!B943="",'Model inputs'!B944="",'Model inputs'!B945="",'Model inputs'!B946="",'Model inputs'!B947="",'Model inputs'!B948="",'Model inputs'!B949="",'Model inputs'!B950="",'Model inputs'!B951="",'Model inputs'!B952="",'Model inputs'!B953="",'Model inputs'!B954="",'Model inputs'!B955="",'Model inputs'!B956="",'Model inputs'!B957="",'Model inputs'!B958="",'Model inputs'!B959="",'Model inputs'!B960="",'Model inputs'!B961=""),"",MIN('Model inputs'!B938,'Model inputs'!B939,'Model inputs'!B940,'Model inputs'!B941,'Model inputs'!B942,'Model inputs'!B943,'Model inputs'!B944,'Model inputs'!B945,'Model inputs'!B946,'Model inputs'!B947,'Model inputs'!B948,'Model inputs'!B949,'Model inputs'!B950,'Model inputs'!B951,'Model inputs'!B952,'Model inputs'!B953,'Model inputs'!B954,'Model inputs'!B955,'Model inputs'!B956,'Model inputs'!B957,'Model inputs'!B958,'Model inputs'!B959,'Model inputs'!B960,'Model inputs'!B961))))-1))</f>
        <v>46508</v>
      </c>
      <c r="G7" s="16" t="n">
        <f aca="false">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</f>
        <v>2074.27521255104</v>
      </c>
      <c r="H7" s="20" t="n">
        <f aca="false">IF('Model inputs'!B1035="","",EDATE(DATE(2026,10,1),IF((IF(AND('Model inputs'!B1011="",'Model inputs'!B1012="",'Model inputs'!B1013="",'Model inputs'!B1014="",'Model inputs'!B1015="",'Model inputs'!B1016="",'Model inputs'!B1017="",'Model inputs'!B1018="",'Model inputs'!B1019="",'Model inputs'!B1020="",'Model inputs'!B1021="",'Model inputs'!B1022="",'Model inputs'!B1023="",'Model inputs'!B1024="",'Model inputs'!B1025="",'Model inputs'!B1026="",'Model inputs'!B1027="",'Model inputs'!B1028="",'Model inputs'!B1029="",'Model inputs'!B1030="",'Model inputs'!B1031="",'Model inputs'!B1032="",'Model inputs'!B1033="",'Model inputs'!B1034=""),"",MIN('Model inputs'!B1011,'Model inputs'!B1012,'Model inputs'!B1013,'Model inputs'!B1014,'Model inputs'!B1015,'Model inputs'!B1016,'Model inputs'!B1017,'Model inputs'!B1018,'Model inputs'!B1019,'Model inputs'!B1020,'Model inputs'!B1021,'Model inputs'!B1022,'Model inputs'!B1023,'Model inputs'!B1024,'Model inputs'!B1025,'Model inputs'!B1026,'Model inputs'!B1027,'Model inputs'!B1028,'Model inputs'!B1029,'Model inputs'!B1030,'Model inputs'!B1031,'Model inputs'!B1032,'Model inputs'!B1033,'Model inputs'!B1034)))="",0,(IF(AND('Model inputs'!B1011="",'Model inputs'!B1012="",'Model inputs'!B1013="",'Model inputs'!B1014="",'Model inputs'!B1015="",'Model inputs'!B1016="",'Model inputs'!B1017="",'Model inputs'!B1018="",'Model inputs'!B1019="",'Model inputs'!B1020="",'Model inputs'!B1021="",'Model inputs'!B1022="",'Model inputs'!B1023="",'Model inputs'!B1024="",'Model inputs'!B1025="",'Model inputs'!B1026="",'Model inputs'!B1027="",'Model inputs'!B1028="",'Model inputs'!B1029="",'Model inputs'!B1030="",'Model inputs'!B1031="",'Model inputs'!B1032="",'Model inputs'!B1033="",'Model inputs'!B1034=""),"",MIN('Model inputs'!B1011,'Model inputs'!B1012,'Model inputs'!B1013,'Model inputs'!B1014,'Model inputs'!B1015,'Model inputs'!B1016,'Model inputs'!B1017,'Model inputs'!B1018,'Model inputs'!B1019,'Model inputs'!B1020,'Model inputs'!B1021,'Model inputs'!B1022,'Model inputs'!B1023,'Model inputs'!B1024,'Model inputs'!B1025,'Model inputs'!B1026,'Model inputs'!B1027,'Model inputs'!B1028,'Model inputs'!B1029,'Model inputs'!B1030,'Model inputs'!B1031,'Model inputs'!B1032,'Model inputs'!B1033,'Model inputs'!B1034))))-1))</f>
        <v>46478</v>
      </c>
      <c r="I7" s="16" t="n">
        <f aca="false">CEILING('Gainsay drivers · Gainsay fixed'!B21+'Gainsay drivers · Gainsay fixed'!B31*('Gainsay drivers · Gainsay data-'!C7+'Gainsay drivers · Gainsay fixed'!B30)-'Gainsay drivers · Gainsay data-'!G7,'Gainsay drivers · Gainsay fixed'!B33)</f>
        <v>5500</v>
      </c>
      <c r="J7" s="19" t="str">
        <f aca="false">IF('Gainsay drivers · Gainsay data-'!F7="","Not reached through December 2027","Reached")</f>
        <v>Reached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16" min="2" style="0" width="19"/>
  </cols>
  <sheetData>
    <row r="1" customFormat="false" ht="31.5" hidden="false" customHeight="true" outlineLevel="0" collapsed="false">
      <c r="A1" s="3" t="s">
        <v>139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9.5" hidden="false" customHeight="true" outlineLevel="0" collapsed="false">
      <c r="A2" s="4" t="s">
        <v>47</v>
      </c>
    </row>
    <row r="4" customFormat="false" ht="21.75" hidden="false" customHeight="true" outlineLevel="0" collapsed="false">
      <c r="A4" s="5" t="s">
        <v>48</v>
      </c>
      <c r="B4" s="14" t="s">
        <v>82</v>
      </c>
      <c r="C4" s="6" t="s">
        <v>83</v>
      </c>
      <c r="D4" s="6" t="s">
        <v>84</v>
      </c>
      <c r="E4" s="14" t="s">
        <v>85</v>
      </c>
      <c r="F4" s="6" t="s">
        <v>86</v>
      </c>
      <c r="G4" s="6" t="s">
        <v>87</v>
      </c>
      <c r="H4" s="14" t="s">
        <v>88</v>
      </c>
      <c r="I4" s="6" t="s">
        <v>89</v>
      </c>
      <c r="J4" s="6" t="s">
        <v>90</v>
      </c>
      <c r="K4" s="14" t="s">
        <v>91</v>
      </c>
      <c r="L4" s="6" t="s">
        <v>92</v>
      </c>
      <c r="M4" s="6" t="s">
        <v>93</v>
      </c>
      <c r="N4" s="14" t="s">
        <v>94</v>
      </c>
      <c r="O4" s="6" t="s">
        <v>95</v>
      </c>
      <c r="P4" s="6" t="s">
        <v>96</v>
      </c>
    </row>
    <row r="5" customFormat="false" ht="18" hidden="false" customHeight="false" outlineLevel="0" collapsed="false">
      <c r="A5" s="7" t="s">
        <v>140</v>
      </c>
      <c r="B5" s="13" t="n">
        <f aca="false">'Model inputs'!J6*(1-'Gainsay drivers · Gainsay deman'!B7)+'Gainsay drivers · Gainsay deman'!B5</f>
        <v>3</v>
      </c>
      <c r="C5" s="13" t="n">
        <f aca="false">'Gainsay economics · Gainsay ope'!B5*(1-'Gainsay drivers · Gainsay deman'!C7)+'Gainsay drivers · Gainsay deman'!C5</f>
        <v>6.06</v>
      </c>
      <c r="D5" s="13" t="n">
        <f aca="false">'Gainsay economics · Gainsay ope'!C5*(1-'Gainsay drivers · Gainsay deman'!D7)+'Gainsay drivers · Gainsay deman'!D5</f>
        <v>9.1857</v>
      </c>
      <c r="E5" s="13" t="n">
        <f aca="false">'Gainsay economics · Gainsay ope'!D5*(1-'Gainsay drivers · Gainsay deman'!E7)+'Gainsay drivers · Gainsay deman'!E5</f>
        <v>12.383004</v>
      </c>
      <c r="F5" s="13" t="n">
        <f aca="false">'Gainsay economics · Gainsay ope'!E5*(1-'Gainsay drivers · Gainsay deman'!F7)+'Gainsay drivers · Gainsay deman'!F5</f>
        <v>15.65803263</v>
      </c>
      <c r="G5" s="13" t="n">
        <f aca="false">'Gainsay economics · Gainsay ope'!F5*(1-'Gainsay drivers · Gainsay deman'!G7)+'Gainsay drivers · Gainsay deman'!G5</f>
        <v>19.0171363386</v>
      </c>
      <c r="H5" s="13" t="n">
        <f aca="false">'Gainsay economics · Gainsay ope'!G5*(1-'Gainsay drivers · Gainsay deman'!H7)+'Gainsay drivers · Gainsay deman'!H5</f>
        <v>22.466909170317</v>
      </c>
      <c r="I5" s="13" t="n">
        <f aca="false">'Gainsay economics · Gainsay ope'!H5*(1-'Gainsay drivers · Gainsay deman'!I7)+'Gainsay drivers · Gainsay deman'!I5</f>
        <v>26.0142031631762</v>
      </c>
      <c r="J5" s="13" t="n">
        <f aca="false">'Gainsay economics · Gainsay ope'!I5*(1-'Gainsay drivers · Gainsay deman'!J7)+'Gainsay drivers · Gainsay deman'!J5</f>
        <v>29.6661433996482</v>
      </c>
      <c r="K5" s="13" t="n">
        <f aca="false">'Gainsay economics · Gainsay ope'!J5*(1-'Gainsay drivers · Gainsay deman'!K7)+'Gainsay drivers · Gainsay deman'!K5</f>
        <v>33.4301437455943</v>
      </c>
      <c r="L5" s="13" t="n">
        <f aca="false">'Gainsay economics · Gainsay ope'!K5*(1-'Gainsay drivers · Gainsay deman'!L7)+'Gainsay drivers · Gainsay deman'!L5</f>
        <v>37.3139233135588</v>
      </c>
      <c r="M5" s="13" t="n">
        <f aca="false">'Gainsay economics · Gainsay ope'!L5*(1-'Gainsay drivers · Gainsay deman'!M7)+'Gainsay drivers · Gainsay deman'!M5</f>
        <v>41.3255236885009</v>
      </c>
      <c r="N5" s="13" t="n">
        <f aca="false">'Gainsay economics · Gainsay ope'!M5*(1-'Gainsay drivers · Gainsay deman'!N7)+'Gainsay drivers · Gainsay deman'!N5</f>
        <v>45.4733269559123</v>
      </c>
      <c r="O5" s="13" t="n">
        <f aca="false">'Gainsay economics · Gainsay ope'!N5*(1-'Gainsay drivers · Gainsay deman'!O7)+'Gainsay drivers · Gainsay deman'!O5</f>
        <v>49.7660745742046</v>
      </c>
      <c r="P5" s="13" t="n">
        <f aca="false">'Gainsay economics · Gainsay ope'!O5*(1-'Gainsay drivers · Gainsay deman'!P7)+'Gainsay drivers · Gainsay deman'!P5</f>
        <v>54.2128871352967</v>
      </c>
    </row>
    <row r="6" customFormat="false" ht="18" hidden="false" customHeight="false" outlineLevel="0" collapsed="false">
      <c r="A6" s="9" t="s">
        <v>100</v>
      </c>
      <c r="B6" s="22" t="n">
        <f aca="false">'Gainsay drivers · Gainsay deman'!B8</f>
        <v>10</v>
      </c>
      <c r="C6" s="22" t="n">
        <f aca="false">'Gainsay economics · Gainsay ope'!B6*(1+'Gainsay drivers · Gainsay deman'!C9)</f>
        <v>10.5</v>
      </c>
      <c r="D6" s="22" t="n">
        <f aca="false">'Gainsay economics · Gainsay ope'!C6*(1+'Gainsay drivers · Gainsay deman'!D9)</f>
        <v>11.025</v>
      </c>
      <c r="E6" s="22" t="n">
        <f aca="false">'Gainsay economics · Gainsay ope'!D6*(1+'Gainsay drivers · Gainsay deman'!E9)</f>
        <v>11.57625</v>
      </c>
      <c r="F6" s="22" t="n">
        <f aca="false">'Gainsay economics · Gainsay ope'!E6*(1+'Gainsay drivers · Gainsay deman'!F9)</f>
        <v>12.1550625</v>
      </c>
      <c r="G6" s="22" t="n">
        <f aca="false">'Gainsay economics · Gainsay ope'!F6*(1+'Gainsay drivers · Gainsay deman'!G9)</f>
        <v>12.762815625</v>
      </c>
      <c r="H6" s="22" t="n">
        <f aca="false">'Gainsay economics · Gainsay ope'!G6*(1+'Gainsay drivers · Gainsay deman'!H9)</f>
        <v>13.40095640625</v>
      </c>
      <c r="I6" s="22" t="n">
        <f aca="false">'Gainsay economics · Gainsay ope'!H6*(1+'Gainsay drivers · Gainsay deman'!I9)</f>
        <v>14.0710042265625</v>
      </c>
      <c r="J6" s="22" t="n">
        <f aca="false">'Gainsay economics · Gainsay ope'!I6*(1+'Gainsay drivers · Gainsay deman'!J9)</f>
        <v>14.7745544378906</v>
      </c>
      <c r="K6" s="22" t="n">
        <f aca="false">'Gainsay economics · Gainsay ope'!J6*(1+'Gainsay drivers · Gainsay deman'!K9)</f>
        <v>15.5132821597852</v>
      </c>
      <c r="L6" s="22" t="n">
        <f aca="false">'Gainsay economics · Gainsay ope'!K6*(1+'Gainsay drivers · Gainsay deman'!L9)</f>
        <v>16.2889462677744</v>
      </c>
      <c r="M6" s="22" t="n">
        <f aca="false">'Gainsay economics · Gainsay ope'!L6*(1+'Gainsay drivers · Gainsay deman'!M9)</f>
        <v>17.1033935811631</v>
      </c>
      <c r="N6" s="22" t="n">
        <f aca="false">'Gainsay economics · Gainsay ope'!M6*(1+'Gainsay drivers · Gainsay deman'!N9)</f>
        <v>17.9585632602213</v>
      </c>
      <c r="O6" s="22" t="n">
        <f aca="false">'Gainsay economics · Gainsay ope'!N6*(1+'Gainsay drivers · Gainsay deman'!O9)</f>
        <v>18.8564914232324</v>
      </c>
      <c r="P6" s="22" t="n">
        <f aca="false">'Gainsay economics · Gainsay ope'!O6*(1+'Gainsay drivers · Gainsay deman'!P9)</f>
        <v>19.799315994394</v>
      </c>
    </row>
    <row r="7" customFormat="false" ht="18" hidden="false" customHeight="false" outlineLevel="0" collapsed="false">
      <c r="A7" s="9" t="s">
        <v>141</v>
      </c>
      <c r="B7" s="12" t="n">
        <f aca="false">'Gainsay economics · Gainsay ope'!B16+'Gainsay economics · Gainsay ope'!B17</f>
        <v>177</v>
      </c>
      <c r="C7" s="12" t="n">
        <f aca="false">'Gainsay economics · Gainsay ope'!C16+'Gainsay economics · Gainsay ope'!C17</f>
        <v>270.24</v>
      </c>
      <c r="D7" s="12" t="n">
        <f aca="false">'Gainsay economics · Gainsay ope'!D16+'Gainsay economics · Gainsay ope'!D17</f>
        <v>365.6103</v>
      </c>
      <c r="E7" s="12" t="n">
        <f aca="false">'Gainsay economics · Gainsay ope'!E16+'Gainsay economics · Gainsay ope'!E17</f>
        <v>463.293366</v>
      </c>
      <c r="F7" s="12" t="n">
        <f aca="false">'Gainsay economics · Gainsay ope'!F16+'Gainsay economics · Gainsay ope'!F17</f>
        <v>563.47850877</v>
      </c>
      <c r="G7" s="12" t="n">
        <f aca="false">'Gainsay economics · Gainsay ope'!G16+'Gainsay economics · Gainsay ope'!G17</f>
        <v>666.3622944444</v>
      </c>
      <c r="H7" s="12" t="n">
        <f aca="false">'Gainsay economics · Gainsay ope'!H16+'Gainsay economics · Gainsay ope'!H17</f>
        <v>772.148973595443</v>
      </c>
      <c r="I7" s="12" t="n">
        <f aca="false">'Gainsay economics · Gainsay ope'!I16+'Gainsay economics · Gainsay ope'!I17</f>
        <v>881.050929771174</v>
      </c>
      <c r="J7" s="12" t="n">
        <f aca="false">'Gainsay economics · Gainsay ope'!J16+'Gainsay economics · Gainsay ope'!J17</f>
        <v>993.289148530812</v>
      </c>
      <c r="K7" s="12" t="n">
        <f aca="false">'Gainsay economics · Gainsay ope'!K16+'Gainsay economics · Gainsay ope'!K17</f>
        <v>1109.0937080603</v>
      </c>
      <c r="L7" s="12" t="n">
        <f aca="false">'Gainsay economics · Gainsay ope'!L16+'Gainsay economics · Gainsay ope'!L17</f>
        <v>1228.70429250317</v>
      </c>
      <c r="M7" s="12" t="n">
        <f aca="false">'Gainsay economics · Gainsay ope'!M16+'Gainsay economics · Gainsay ope'!M17</f>
        <v>1352.370729197</v>
      </c>
      <c r="N7" s="12" t="n">
        <f aca="false">'Gainsay economics · Gainsay ope'!N16+'Gainsay economics · Gainsay ope'!N17</f>
        <v>1480.35355106345</v>
      </c>
      <c r="O7" s="12" t="n">
        <f aca="false">'Gainsay economics · Gainsay ope'!O16+'Gainsay economics · Gainsay ope'!O17</f>
        <v>1612.92458546103</v>
      </c>
      <c r="P7" s="12" t="n">
        <f aca="false">'Gainsay economics · Gainsay ope'!P16+'Gainsay economics · Gainsay ope'!P17</f>
        <v>1750.36757087315</v>
      </c>
    </row>
    <row r="8" customFormat="false" ht="18" hidden="false" customHeight="false" outlineLevel="0" collapsed="false">
      <c r="A8" s="9" t="s">
        <v>142</v>
      </c>
      <c r="B8" s="12" t="n">
        <f aca="false">IF('Gainsay economics · Gainsay ope'!B24="","",'Gainsay economics · Gainsay ope'!B24)</f>
        <v>9.033</v>
      </c>
      <c r="C8" s="12" t="n">
        <f aca="false">IF('Gainsay economics · Gainsay ope'!C24="","",'Gainsay economics · Gainsay ope'!C24)</f>
        <v>12.80496</v>
      </c>
      <c r="D8" s="12" t="n">
        <f aca="false">IF('Gainsay economics · Gainsay ope'!D24="","",'Gainsay economics · Gainsay ope'!D24)</f>
        <v>16.6659087</v>
      </c>
      <c r="E8" s="12" t="n">
        <f aca="false">IF('Gainsay economics · Gainsay ope'!E24="","",'Gainsay economics · Gainsay ope'!E24)</f>
        <v>20.623283814</v>
      </c>
      <c r="F8" s="12" t="n">
        <f aca="false">IF('Gainsay economics · Gainsay ope'!F24="","",'Gainsay economics · Gainsay ope'!F24)</f>
        <v>24.68480529333</v>
      </c>
      <c r="G8" s="12" t="n">
        <f aca="false">IF('Gainsay economics · Gainsay ope'!G24="","",'Gainsay economics · Gainsay ope'!G24)</f>
        <v>28.8584921279676</v>
      </c>
      <c r="H8" s="12" t="n">
        <f aca="false">IF('Gainsay economics · Gainsay ope'!H24="","",'Gainsay economics · Gainsay ope'!H24)</f>
        <v>33.152679907238</v>
      </c>
      <c r="I8" s="12" t="n">
        <f aca="false">IF('Gainsay economics · Gainsay ope'!I24="","",'Gainsay economics · Gainsay ope'!I24)</f>
        <v>37.5760391802857</v>
      </c>
      <c r="J8" s="12" t="n">
        <f aca="false">IF('Gainsay economics · Gainsay ope'!J24="","",'Gainsay economics · Gainsay ope'!J24)</f>
        <v>42.1375946586552</v>
      </c>
      <c r="K8" s="12" t="n">
        <f aca="false">IF('Gainsay economics · Gainsay ope'!K24="","",'Gainsay economics · Gainsay ope'!K24)</f>
        <v>46.8467453053625</v>
      </c>
      <c r="L8" s="12" t="n">
        <f aca="false">IF('Gainsay economics · Gainsay ope'!L24="","",'Gainsay economics · Gainsay ope'!L24)</f>
        <v>51.713285356992</v>
      </c>
      <c r="M8" s="12" t="n">
        <f aca="false">IF('Gainsay economics · Gainsay ope'!M24="","",'Gainsay economics · Gainsay ope'!M24)</f>
        <v>56.7474263276121</v>
      </c>
      <c r="N8" s="12" t="n">
        <f aca="false">IF('Gainsay economics · Gainsay ope'!N24="","",'Gainsay economics · Gainsay ope'!N24)</f>
        <v>61.9598200456801</v>
      </c>
      <c r="O8" s="12" t="n">
        <f aca="false">IF('Gainsay economics · Gainsay ope'!O24="","",'Gainsay economics · Gainsay ope'!O24)</f>
        <v>67.3615827776009</v>
      </c>
      <c r="P8" s="12" t="n">
        <f aca="false">IF('Gainsay economics · Gainsay ope'!P24="","",'Gainsay economics · Gainsay ope'!P24)</f>
        <v>72.9643204942286</v>
      </c>
    </row>
    <row r="9" customFormat="false" ht="18" hidden="false" customHeight="false" outlineLevel="0" collapsed="false">
      <c r="A9" s="9" t="s">
        <v>143</v>
      </c>
      <c r="B9" s="12" t="n">
        <f aca="false">'Gainsay economics · Gainsay ope'!B22+'Gainsay economics · Gainsay ope'!B23</f>
        <v>30.16</v>
      </c>
      <c r="C9" s="12" t="n">
        <f aca="false">'Gainsay economics · Gainsay ope'!C22+'Gainsay economics · Gainsay ope'!C23</f>
        <v>36.1842</v>
      </c>
      <c r="D9" s="12" t="n">
        <f aca="false">'Gainsay economics · Gainsay ope'!D22+'Gainsay economics · Gainsay ope'!D23</f>
        <v>42.350724</v>
      </c>
      <c r="E9" s="12" t="n">
        <f aca="false">'Gainsay economics · Gainsay ope'!E22+'Gainsay economics · Gainsay ope'!E23</f>
        <v>48.67145478</v>
      </c>
      <c r="F9" s="12" t="n">
        <f aca="false">'Gainsay economics · Gainsay ope'!F22+'Gainsay economics · Gainsay ope'!F23</f>
        <v>55.1587262616</v>
      </c>
      <c r="G9" s="12" t="n">
        <f aca="false">'Gainsay economics · Gainsay ope'!G22+'Gainsay economics · Gainsay ope'!G23</f>
        <v>61.825350355002</v>
      </c>
      <c r="H9" s="12" t="n">
        <f aca="false">'Gainsay economics · Gainsay ope'!H22+'Gainsay economics · Gainsay ope'!H23</f>
        <v>68.6846450196644</v>
      </c>
      <c r="I9" s="12" t="n">
        <f aca="false">'Gainsay economics · Gainsay ope'!I22+'Gainsay economics · Gainsay ope'!I23</f>
        <v>75.7504636031526</v>
      </c>
      <c r="J9" s="12" t="n">
        <f aca="false">'Gainsay economics · Gainsay ope'!J22+'Gainsay economics · Gainsay ope'!J23</f>
        <v>83.0372255258401</v>
      </c>
      <c r="K9" s="12" t="n">
        <f aca="false">'Gainsay economics · Gainsay ope'!K22+'Gainsay economics · Gainsay ope'!K23</f>
        <v>90.559948382386</v>
      </c>
      <c r="L9" s="12" t="n">
        <f aca="false">'Gainsay economics · Gainsay ope'!L22+'Gainsay economics · Gainsay ope'!L23</f>
        <v>98.3342815343517</v>
      </c>
      <c r="M9" s="12" t="n">
        <f aca="false">'Gainsay economics · Gainsay ope'!M22+'Gainsay economics · Gainsay ope'!M23</f>
        <v>106.37654127193</v>
      </c>
      <c r="N9" s="12" t="n">
        <f aca="false">'Gainsay economics · Gainsay ope'!N22+'Gainsay economics · Gainsay ope'!N23</f>
        <v>114.703747626562</v>
      </c>
      <c r="O9" s="12" t="n">
        <f aca="false">'Gainsay economics · Gainsay ope'!O22+'Gainsay economics · Gainsay ope'!O23</f>
        <v>123.333662920194</v>
      </c>
      <c r="P9" s="12" t="n">
        <f aca="false">'Gainsay economics · Gainsay ope'!P22+'Gainsay economics · Gainsay ope'!P23</f>
        <v>132.284832141139</v>
      </c>
    </row>
    <row r="10" customFormat="false" ht="18" hidden="false" customHeight="false" outlineLevel="0" collapsed="false">
      <c r="A10" s="9" t="s">
        <v>144</v>
      </c>
      <c r="B10" s="12" t="n">
        <f aca="false">'Gainsay drivers · Gainsay prici'!B10-'Gainsay economics · Gainsay ope'!B23+'Gainsay economics · Gainsay ope'!B27+'Gainsay economics · Gainsay ope'!B49</f>
        <v>995</v>
      </c>
      <c r="C10" s="12" t="n">
        <f aca="false">'Gainsay drivers · Gainsay prici'!B10-'Gainsay economics · Gainsay ope'!C23+'Gainsay economics · Gainsay ope'!C27+'Gainsay economics · Gainsay ope'!C49</f>
        <v>995</v>
      </c>
      <c r="D10" s="12" t="n">
        <f aca="false">'Gainsay drivers · Gainsay prici'!B10-'Gainsay economics · Gainsay ope'!D23+'Gainsay economics · Gainsay ope'!D27+'Gainsay economics · Gainsay ope'!D49</f>
        <v>995</v>
      </c>
      <c r="E10" s="12" t="n">
        <f aca="false">'Gainsay drivers · Gainsay prici'!B10-'Gainsay economics · Gainsay ope'!E23+'Gainsay economics · Gainsay ope'!E27+'Gainsay economics · Gainsay ope'!E49</f>
        <v>995</v>
      </c>
      <c r="F10" s="12" t="n">
        <f aca="false">'Gainsay drivers · Gainsay prici'!B10-'Gainsay economics · Gainsay ope'!F23+'Gainsay economics · Gainsay ope'!F27+'Gainsay economics · Gainsay ope'!F49</f>
        <v>995</v>
      </c>
      <c r="G10" s="12" t="n">
        <f aca="false">'Gainsay drivers · Gainsay prici'!B10-'Gainsay economics · Gainsay ope'!G23+'Gainsay economics · Gainsay ope'!G27+'Gainsay economics · Gainsay ope'!G49</f>
        <v>995</v>
      </c>
      <c r="H10" s="12" t="n">
        <f aca="false">'Gainsay drivers · Gainsay prici'!B10-'Gainsay economics · Gainsay ope'!H23+'Gainsay economics · Gainsay ope'!H27+'Gainsay economics · Gainsay ope'!H49</f>
        <v>995</v>
      </c>
      <c r="I10" s="12" t="n">
        <f aca="false">'Gainsay drivers · Gainsay prici'!B10-'Gainsay economics · Gainsay ope'!I23+'Gainsay economics · Gainsay ope'!I27+'Gainsay economics · Gainsay ope'!I49</f>
        <v>995</v>
      </c>
      <c r="J10" s="12" t="n">
        <f aca="false">'Gainsay drivers · Gainsay prici'!B10-'Gainsay economics · Gainsay ope'!J23+'Gainsay economics · Gainsay ope'!J27+'Gainsay economics · Gainsay ope'!J49</f>
        <v>995</v>
      </c>
      <c r="K10" s="12" t="n">
        <f aca="false">'Gainsay drivers · Gainsay prici'!B10-'Gainsay economics · Gainsay ope'!K23+'Gainsay economics · Gainsay ope'!K27+'Gainsay economics · Gainsay ope'!K49</f>
        <v>995</v>
      </c>
      <c r="L10" s="12" t="n">
        <f aca="false">'Gainsay drivers · Gainsay prici'!B10-'Gainsay economics · Gainsay ope'!L23+'Gainsay economics · Gainsay ope'!L27+'Gainsay economics · Gainsay ope'!L49</f>
        <v>995</v>
      </c>
      <c r="M10" s="12" t="n">
        <f aca="false">'Gainsay drivers · Gainsay prici'!B10-'Gainsay economics · Gainsay ope'!M23+'Gainsay economics · Gainsay ope'!M27+'Gainsay economics · Gainsay ope'!M49</f>
        <v>995</v>
      </c>
      <c r="N10" s="12" t="n">
        <f aca="false">'Gainsay drivers · Gainsay prici'!B10-'Gainsay economics · Gainsay ope'!N23+'Gainsay economics · Gainsay ope'!N27+'Gainsay economics · Gainsay ope'!N49</f>
        <v>995</v>
      </c>
      <c r="O10" s="12" t="n">
        <f aca="false">'Gainsay drivers · Gainsay prici'!B10-'Gainsay economics · Gainsay ope'!O23+'Gainsay economics · Gainsay ope'!O27+'Gainsay economics · Gainsay ope'!O49</f>
        <v>995</v>
      </c>
      <c r="P10" s="12" t="n">
        <f aca="false">'Gainsay drivers · Gainsay prici'!B10-'Gainsay economics · Gainsay ope'!P23+'Gainsay economics · Gainsay ope'!P27+'Gainsay economics · Gainsay ope'!P49</f>
        <v>1395</v>
      </c>
    </row>
    <row r="11" customFormat="false" ht="18" hidden="false" customHeight="false" outlineLevel="0" collapsed="false">
      <c r="A11" s="9" t="s">
        <v>145</v>
      </c>
      <c r="B11" s="12" t="n">
        <f aca="false">'Gainsay economics · Gainsay ope'!B7-'Gainsay economics · Gainsay ope'!B8-'Gainsay economics · Gainsay ope'!B9-'Gainsay economics · Gainsay ope'!B10</f>
        <v>-857.193</v>
      </c>
      <c r="C11" s="12" t="n">
        <f aca="false">'Gainsay economics · Gainsay ope'!C7-'Gainsay economics · Gainsay ope'!C8-'Gainsay economics · Gainsay ope'!C9-'Gainsay economics · Gainsay ope'!C10</f>
        <v>-773.74916</v>
      </c>
      <c r="D11" s="12" t="n">
        <f aca="false">'Gainsay economics · Gainsay ope'!D7-'Gainsay economics · Gainsay ope'!D8-'Gainsay economics · Gainsay ope'!D9-'Gainsay economics · Gainsay ope'!D10</f>
        <v>-688.4063327</v>
      </c>
      <c r="E11" s="12" t="n">
        <f aca="false">'Gainsay economics · Gainsay ope'!E7-'Gainsay economics · Gainsay ope'!E8-'Gainsay economics · Gainsay ope'!E9-'Gainsay economics · Gainsay ope'!E10</f>
        <v>-601.001372594</v>
      </c>
      <c r="F11" s="12" t="n">
        <f aca="false">'Gainsay economics · Gainsay ope'!F7-'Gainsay economics · Gainsay ope'!F8-'Gainsay economics · Gainsay ope'!F9-'Gainsay economics · Gainsay ope'!F10</f>
        <v>-511.36502278493</v>
      </c>
      <c r="G11" s="12" t="n">
        <f aca="false">'Gainsay economics · Gainsay ope'!G7-'Gainsay economics · Gainsay ope'!G8-'Gainsay economics · Gainsay ope'!G9-'Gainsay economics · Gainsay ope'!G10</f>
        <v>-419.32154803857</v>
      </c>
      <c r="H11" s="12" t="n">
        <f aca="false">'Gainsay economics · Gainsay ope'!H7-'Gainsay economics · Gainsay ope'!H8-'Gainsay economics · Gainsay ope'!H9-'Gainsay economics · Gainsay ope'!H10</f>
        <v>-324.688351331459</v>
      </c>
      <c r="I11" s="12" t="n">
        <f aca="false">'Gainsay economics · Gainsay ope'!I7-'Gainsay economics · Gainsay ope'!I8-'Gainsay economics · Gainsay ope'!I9-'Gainsay economics · Gainsay ope'!I10</f>
        <v>-227.275573012265</v>
      </c>
      <c r="J11" s="12" t="n">
        <f aca="false">'Gainsay economics · Gainsay ope'!J7-'Gainsay economics · Gainsay ope'!J8-'Gainsay economics · Gainsay ope'!J9-'Gainsay economics · Gainsay ope'!J10</f>
        <v>-126.885671653683</v>
      </c>
      <c r="K11" s="12" t="n">
        <f aca="false">'Gainsay economics · Gainsay ope'!K7-'Gainsay economics · Gainsay ope'!K8-'Gainsay economics · Gainsay ope'!K9-'Gainsay economics · Gainsay ope'!K10</f>
        <v>-23.3129856274486</v>
      </c>
      <c r="L11" s="12" t="n">
        <f aca="false">'Gainsay economics · Gainsay ope'!L7-'Gainsay economics · Gainsay ope'!L8-'Gainsay economics · Gainsay ope'!L9-'Gainsay economics · Gainsay ope'!L10</f>
        <v>83.6567256118299</v>
      </c>
      <c r="M11" s="12" t="n">
        <f aca="false">'Gainsay economics · Gainsay ope'!M7-'Gainsay economics · Gainsay ope'!M8-'Gainsay economics · Gainsay ope'!M9-'Gainsay economics · Gainsay ope'!M10</f>
        <v>194.246761597453</v>
      </c>
      <c r="N11" s="12" t="n">
        <f aca="false">'Gainsay economics · Gainsay ope'!N7-'Gainsay economics · Gainsay ope'!N8-'Gainsay economics · Gainsay ope'!N9-'Gainsay economics · Gainsay ope'!N10</f>
        <v>308.689983391206</v>
      </c>
      <c r="O11" s="12" t="n">
        <f aca="false">'Gainsay economics · Gainsay ope'!O7-'Gainsay economics · Gainsay ope'!O8-'Gainsay economics · Gainsay ope'!O9-'Gainsay economics · Gainsay ope'!O10</f>
        <v>427.229339763231</v>
      </c>
      <c r="P11" s="12" t="n">
        <f aca="false">'Gainsay economics · Gainsay ope'!P7-'Gainsay economics · Gainsay ope'!P8-'Gainsay economics · Gainsay ope'!P9-'Gainsay economics · Gainsay ope'!P10</f>
        <v>150.118418237783</v>
      </c>
    </row>
    <row r="12" customFormat="false" ht="18" hidden="false" customHeight="false" outlineLevel="0" collapsed="false">
      <c r="A12" s="9" t="s">
        <v>146</v>
      </c>
      <c r="B12" s="12" t="n">
        <f aca="false">IF(IF(DATE(2026,10,1)=DATE(2026,10,1),'Gainsay drivers · Gainsay fixed'!B21-'Gainsay drivers · Gainsay fixed'!B22,IF('Model inputs'!J32="","",'Model inputs'!J32))="",0,IF(DATE(2026,10,1)=DATE(2026,10,1),'Gainsay drivers · Gainsay fixed'!B21-'Gainsay drivers · Gainsay fixed'!B22,IF('Model inputs'!J32="","",'Model inputs'!J32)))+'Gainsay economics · Gainsay ope'!B11</f>
        <v>3642.807</v>
      </c>
      <c r="C12" s="12" t="n">
        <f aca="false">IF(IF(DATE(2026,11,1)=DATE(2026,10,1),'Gainsay drivers · Gainsay fixed'!B21-'Gainsay drivers · Gainsay fixed'!B22,IF('Gainsay economics · Gainsay ope'!B12="","",'Gainsay economics · Gainsay ope'!B12))="",0,IF(DATE(2026,11,1)=DATE(2026,10,1),'Gainsay drivers · Gainsay fixed'!B21-'Gainsay drivers · Gainsay fixed'!B22,IF('Gainsay economics · Gainsay ope'!B12="","",'Gainsay economics · Gainsay ope'!B12)))+'Gainsay economics · Gainsay ope'!C11</f>
        <v>2869.05784</v>
      </c>
      <c r="D12" s="12" t="n">
        <f aca="false">IF(IF(DATE(2026,12,1)=DATE(2026,10,1),'Gainsay drivers · Gainsay fixed'!B21-'Gainsay drivers · Gainsay fixed'!B22,IF('Gainsay economics · Gainsay ope'!C12="","",'Gainsay economics · Gainsay ope'!C12))="",0,IF(DATE(2026,12,1)=DATE(2026,10,1),'Gainsay drivers · Gainsay fixed'!B21-'Gainsay drivers · Gainsay fixed'!B22,IF('Gainsay economics · Gainsay ope'!C12="","",'Gainsay economics · Gainsay ope'!C12)))+'Gainsay economics · Gainsay ope'!D11</f>
        <v>2180.6515073</v>
      </c>
      <c r="E12" s="12" t="n">
        <f aca="false">IF(IF(DATE(2027,1,1)=DATE(2026,10,1),'Gainsay drivers · Gainsay fixed'!B21-'Gainsay drivers · Gainsay fixed'!B22,IF('Gainsay economics · Gainsay ope'!D12="","",'Gainsay economics · Gainsay ope'!D12))="",0,IF(DATE(2027,1,1)=DATE(2026,10,1),'Gainsay drivers · Gainsay fixed'!B21-'Gainsay drivers · Gainsay fixed'!B22,IF('Gainsay economics · Gainsay ope'!D12="","",'Gainsay economics · Gainsay ope'!D12)))+'Gainsay economics · Gainsay ope'!E11</f>
        <v>1579.650134706</v>
      </c>
      <c r="F12" s="12" t="n">
        <f aca="false">IF(IF(DATE(2027,2,1)=DATE(2026,10,1),'Gainsay drivers · Gainsay fixed'!B21-'Gainsay drivers · Gainsay fixed'!B22,IF('Gainsay economics · Gainsay ope'!E12="","",'Gainsay economics · Gainsay ope'!E12))="",0,IF(DATE(2027,2,1)=DATE(2026,10,1),'Gainsay drivers · Gainsay fixed'!B21-'Gainsay drivers · Gainsay fixed'!B22,IF('Gainsay economics · Gainsay ope'!E12="","",'Gainsay economics · Gainsay ope'!E12)))+'Gainsay economics · Gainsay ope'!F11</f>
        <v>1068.28511192107</v>
      </c>
      <c r="G12" s="12" t="n">
        <f aca="false">IF(IF(DATE(2027,3,1)=DATE(2026,10,1),'Gainsay drivers · Gainsay fixed'!B21-'Gainsay drivers · Gainsay fixed'!B22,IF('Gainsay economics · Gainsay ope'!F12="","",'Gainsay economics · Gainsay ope'!F12))="",0,IF(DATE(2027,3,1)=DATE(2026,10,1),'Gainsay drivers · Gainsay fixed'!B21-'Gainsay drivers · Gainsay fixed'!B22,IF('Gainsay economics · Gainsay ope'!F12="","",'Gainsay economics · Gainsay ope'!F12)))+'Gainsay economics · Gainsay ope'!G11</f>
        <v>648.963563882501</v>
      </c>
      <c r="H12" s="12" t="n">
        <f aca="false">IF(IF(DATE(2027,4,1)=DATE(2026,10,1),'Gainsay drivers · Gainsay fixed'!B21-'Gainsay drivers · Gainsay fixed'!B22,IF('Gainsay economics · Gainsay ope'!G12="","",'Gainsay economics · Gainsay ope'!G12))="",0,IF(DATE(2027,4,1)=DATE(2026,10,1),'Gainsay drivers · Gainsay fixed'!B21-'Gainsay drivers · Gainsay fixed'!B22,IF('Gainsay economics · Gainsay ope'!G12="","",'Gainsay economics · Gainsay ope'!G12)))+'Gainsay economics · Gainsay ope'!H11</f>
        <v>324.275212551041</v>
      </c>
      <c r="I12" s="12" t="n">
        <f aca="false">IF(IF(DATE(2027,5,1)=DATE(2026,10,1),'Gainsay drivers · Gainsay fixed'!B21-'Gainsay drivers · Gainsay fixed'!B22,IF('Gainsay economics · Gainsay ope'!H12="","",'Gainsay economics · Gainsay ope'!H12))="",0,IF(DATE(2027,5,1)=DATE(2026,10,1),'Gainsay drivers · Gainsay fixed'!B21-'Gainsay drivers · Gainsay fixed'!B22,IF('Gainsay economics · Gainsay ope'!H12="","",'Gainsay economics · Gainsay ope'!H12)))+'Gainsay economics · Gainsay ope'!I11</f>
        <v>96.9996395387766</v>
      </c>
      <c r="J12" s="12" t="n">
        <f aca="false">IF(IF(DATE(2027,6,1)=DATE(2026,10,1),'Gainsay drivers · Gainsay fixed'!B21-'Gainsay drivers · Gainsay fixed'!B22,IF('Gainsay economics · Gainsay ope'!I12="","",'Gainsay economics · Gainsay ope'!I12))="",0,IF(DATE(2027,6,1)=DATE(2026,10,1),'Gainsay drivers · Gainsay fixed'!B21-'Gainsay drivers · Gainsay fixed'!B22,IF('Gainsay economics · Gainsay ope'!I12="","",'Gainsay economics · Gainsay ope'!I12)))+'Gainsay economics · Gainsay ope'!J11</f>
        <v>-29.8860321149067</v>
      </c>
      <c r="K12" s="12" t="n">
        <f aca="false">IF(IF(DATE(2027,7,1)=DATE(2026,10,1),'Gainsay drivers · Gainsay fixed'!B21-'Gainsay drivers · Gainsay fixed'!B22,IF('Gainsay economics · Gainsay ope'!J12="","",'Gainsay economics · Gainsay ope'!J12))="",0,IF(DATE(2027,7,1)=DATE(2026,10,1),'Gainsay drivers · Gainsay fixed'!B21-'Gainsay drivers · Gainsay fixed'!B22,IF('Gainsay economics · Gainsay ope'!J12="","",'Gainsay economics · Gainsay ope'!J12)))+'Gainsay economics · Gainsay ope'!K11</f>
        <v>-53.1990177423553</v>
      </c>
      <c r="L12" s="12" t="n">
        <f aca="false">IF(IF(DATE(2027,8,1)=DATE(2026,10,1),'Gainsay drivers · Gainsay fixed'!B21-'Gainsay drivers · Gainsay fixed'!B22,IF('Gainsay economics · Gainsay ope'!K12="","",'Gainsay economics · Gainsay ope'!K12))="",0,IF(DATE(2027,8,1)=DATE(2026,10,1),'Gainsay drivers · Gainsay fixed'!B21-'Gainsay drivers · Gainsay fixed'!B22,IF('Gainsay economics · Gainsay ope'!K12="","",'Gainsay economics · Gainsay ope'!K12)))+'Gainsay economics · Gainsay ope'!L11</f>
        <v>30.4577078694746</v>
      </c>
      <c r="M12" s="12" t="n">
        <f aca="false">IF(IF(DATE(2027,9,1)=DATE(2026,10,1),'Gainsay drivers · Gainsay fixed'!B21-'Gainsay drivers · Gainsay fixed'!B22,IF('Gainsay economics · Gainsay ope'!L12="","",'Gainsay economics · Gainsay ope'!L12))="",0,IF(DATE(2027,9,1)=DATE(2026,10,1),'Gainsay drivers · Gainsay fixed'!B21-'Gainsay drivers · Gainsay fixed'!B22,IF('Gainsay economics · Gainsay ope'!L12="","",'Gainsay economics · Gainsay ope'!L12)))+'Gainsay economics · Gainsay ope'!M11</f>
        <v>224.704469466928</v>
      </c>
      <c r="N12" s="12" t="n">
        <f aca="false">IF(IF(DATE(2027,10,1)=DATE(2026,10,1),'Gainsay drivers · Gainsay fixed'!B21-'Gainsay drivers · Gainsay fixed'!B22,IF('Gainsay economics · Gainsay ope'!M12="","",'Gainsay economics · Gainsay ope'!M12))="",0,IF(DATE(2027,10,1)=DATE(2026,10,1),'Gainsay drivers · Gainsay fixed'!B21-'Gainsay drivers · Gainsay fixed'!B22,IF('Gainsay economics · Gainsay ope'!M12="","",'Gainsay economics · Gainsay ope'!M12)))+'Gainsay economics · Gainsay ope'!N11</f>
        <v>533.394452858134</v>
      </c>
      <c r="O12" s="12" t="n">
        <f aca="false">IF(IF(DATE(2027,11,1)=DATE(2026,10,1),'Gainsay drivers · Gainsay fixed'!B21-'Gainsay drivers · Gainsay fixed'!B22,IF('Gainsay economics · Gainsay ope'!N12="","",'Gainsay economics · Gainsay ope'!N12))="",0,IF(DATE(2027,11,1)=DATE(2026,10,1),'Gainsay drivers · Gainsay fixed'!B21-'Gainsay drivers · Gainsay fixed'!B22,IF('Gainsay economics · Gainsay ope'!N12="","",'Gainsay economics · Gainsay ope'!N12)))+'Gainsay economics · Gainsay ope'!O11</f>
        <v>960.623792621365</v>
      </c>
      <c r="P12" s="12" t="n">
        <f aca="false">IF(IF(DATE(2027,12,1)=DATE(2026,10,1),'Gainsay drivers · Gainsay fixed'!B21-'Gainsay drivers · Gainsay fixed'!B22,IF('Gainsay economics · Gainsay ope'!O12="","",'Gainsay economics · Gainsay ope'!O12))="",0,IF(DATE(2027,12,1)=DATE(2026,10,1),'Gainsay drivers · Gainsay fixed'!B21-'Gainsay drivers · Gainsay fixed'!B22,IF('Gainsay economics · Gainsay ope'!O12="","",'Gainsay economics · Gainsay ope'!O12)))+'Gainsay economics · Gainsay ope'!P11</f>
        <v>1110.74221085915</v>
      </c>
    </row>
    <row r="13" customFormat="false" ht="18" hidden="false" customHeight="false" outlineLevel="0" collapsed="false">
      <c r="A13" s="9" t="s">
        <v>147</v>
      </c>
      <c r="B13" s="10" t="n">
        <f aca="false">IF('Model inputs'!J40="","",'Model inputs'!J40)</f>
        <v>0</v>
      </c>
      <c r="C13" s="10" t="n">
        <f aca="false">IF('Gainsay economics · Gainsay ope'!B15="","",'Gainsay economics · Gainsay ope'!B15)</f>
        <v>3</v>
      </c>
      <c r="D13" s="10" t="n">
        <f aca="false">IF('Gainsay economics · Gainsay ope'!C15="","",'Gainsay economics · Gainsay ope'!C15)</f>
        <v>6.06</v>
      </c>
      <c r="E13" s="10" t="n">
        <f aca="false">IF('Gainsay economics · Gainsay ope'!D15="","",'Gainsay economics · Gainsay ope'!D15)</f>
        <v>9.1857</v>
      </c>
      <c r="F13" s="10" t="n">
        <f aca="false">IF('Gainsay economics · Gainsay ope'!E15="","",'Gainsay economics · Gainsay ope'!E15)</f>
        <v>12.383004</v>
      </c>
      <c r="G13" s="10" t="n">
        <f aca="false">IF('Gainsay economics · Gainsay ope'!F15="","",'Gainsay economics · Gainsay ope'!F15)</f>
        <v>15.65803263</v>
      </c>
      <c r="H13" s="10" t="n">
        <f aca="false">IF('Gainsay economics · Gainsay ope'!G15="","",'Gainsay economics · Gainsay ope'!G15)</f>
        <v>19.0171363386</v>
      </c>
      <c r="I13" s="10" t="n">
        <f aca="false">IF('Gainsay economics · Gainsay ope'!H15="","",'Gainsay economics · Gainsay ope'!H15)</f>
        <v>22.466909170317</v>
      </c>
      <c r="J13" s="10" t="n">
        <f aca="false">IF('Gainsay economics · Gainsay ope'!I15="","",'Gainsay economics · Gainsay ope'!I15)</f>
        <v>26.0142031631762</v>
      </c>
      <c r="K13" s="10" t="n">
        <f aca="false">IF('Gainsay economics · Gainsay ope'!J15="","",'Gainsay economics · Gainsay ope'!J15)</f>
        <v>29.6661433996482</v>
      </c>
      <c r="L13" s="10" t="n">
        <f aca="false">IF('Gainsay economics · Gainsay ope'!K15="","",'Gainsay economics · Gainsay ope'!K15)</f>
        <v>33.4301437455943</v>
      </c>
      <c r="M13" s="10" t="n">
        <f aca="false">IF('Gainsay economics · Gainsay ope'!L15="","",'Gainsay economics · Gainsay ope'!L15)</f>
        <v>37.3139233135588</v>
      </c>
      <c r="N13" s="10" t="n">
        <f aca="false">IF('Gainsay economics · Gainsay ope'!M15="","",'Gainsay economics · Gainsay ope'!M15)</f>
        <v>41.3255236885009</v>
      </c>
      <c r="O13" s="10" t="n">
        <f aca="false">IF('Gainsay economics · Gainsay ope'!N15="","",'Gainsay economics · Gainsay ope'!N15)</f>
        <v>45.4733269559123</v>
      </c>
      <c r="P13" s="10" t="n">
        <f aca="false">IF('Gainsay economics · Gainsay ope'!O15="","",'Gainsay economics · Gainsay ope'!O15)</f>
        <v>49.7660745742046</v>
      </c>
    </row>
    <row r="14" customFormat="false" ht="18" hidden="false" customHeight="false" outlineLevel="0" collapsed="false">
      <c r="A14" s="9" t="s">
        <v>148</v>
      </c>
      <c r="B14" s="10" t="n">
        <f aca="false">'Gainsay economics · Gainsay ope'!B13*'Gainsay drivers · Gainsay deman'!B7</f>
        <v>0</v>
      </c>
      <c r="C14" s="10" t="n">
        <f aca="false">'Gainsay economics · Gainsay ope'!C13*'Gainsay drivers · Gainsay deman'!C7</f>
        <v>0.09</v>
      </c>
      <c r="D14" s="10" t="n">
        <f aca="false">'Gainsay economics · Gainsay ope'!D13*'Gainsay drivers · Gainsay deman'!D7</f>
        <v>0.1818</v>
      </c>
      <c r="E14" s="10" t="n">
        <f aca="false">'Gainsay economics · Gainsay ope'!E13*'Gainsay drivers · Gainsay deman'!E7</f>
        <v>0.275571</v>
      </c>
      <c r="F14" s="10" t="n">
        <f aca="false">'Gainsay economics · Gainsay ope'!F13*'Gainsay drivers · Gainsay deman'!F7</f>
        <v>0.37149012</v>
      </c>
      <c r="G14" s="10" t="n">
        <f aca="false">'Gainsay economics · Gainsay ope'!G13*'Gainsay drivers · Gainsay deman'!G7</f>
        <v>0.4697409789</v>
      </c>
      <c r="H14" s="10" t="n">
        <f aca="false">'Gainsay economics · Gainsay ope'!H13*'Gainsay drivers · Gainsay deman'!H7</f>
        <v>0.570514090158</v>
      </c>
      <c r="I14" s="10" t="n">
        <f aca="false">'Gainsay economics · Gainsay ope'!I13*'Gainsay drivers · Gainsay deman'!I7</f>
        <v>0.67400727510951</v>
      </c>
      <c r="J14" s="10" t="n">
        <f aca="false">'Gainsay economics · Gainsay ope'!J13*'Gainsay drivers · Gainsay deman'!J7</f>
        <v>0.780426094895287</v>
      </c>
      <c r="K14" s="10" t="n">
        <f aca="false">'Gainsay economics · Gainsay ope'!K13*'Gainsay drivers · Gainsay deman'!K7</f>
        <v>0.889984301989444</v>
      </c>
      <c r="L14" s="10" t="n">
        <f aca="false">'Gainsay economics · Gainsay ope'!L13*'Gainsay drivers · Gainsay deman'!L7</f>
        <v>1.00290431236783</v>
      </c>
      <c r="M14" s="10" t="n">
        <f aca="false">'Gainsay economics · Gainsay ope'!M13*'Gainsay drivers · Gainsay deman'!M7</f>
        <v>1.11941769940676</v>
      </c>
      <c r="N14" s="10" t="n">
        <f aca="false">'Gainsay economics · Gainsay ope'!N13*'Gainsay drivers · Gainsay deman'!N7</f>
        <v>1.23976571065503</v>
      </c>
      <c r="O14" s="10" t="n">
        <f aca="false">'Gainsay economics · Gainsay ope'!O13*'Gainsay drivers · Gainsay deman'!O7</f>
        <v>1.36419980867737</v>
      </c>
      <c r="P14" s="10" t="n">
        <f aca="false">'Gainsay economics · Gainsay ope'!P13*'Gainsay drivers · Gainsay deman'!P7</f>
        <v>1.49298223722614</v>
      </c>
    </row>
    <row r="15" customFormat="false" ht="18" hidden="false" customHeight="false" outlineLevel="0" collapsed="false">
      <c r="A15" s="9" t="s">
        <v>149</v>
      </c>
      <c r="B15" s="10" t="n">
        <f aca="false">IF('Gainsay economics · Gainsay ope'!B5="","",'Gainsay economics · Gainsay ope'!B5)</f>
        <v>3</v>
      </c>
      <c r="C15" s="10" t="n">
        <f aca="false">IF('Gainsay economics · Gainsay ope'!C5="","",'Gainsay economics · Gainsay ope'!C5)</f>
        <v>6.06</v>
      </c>
      <c r="D15" s="10" t="n">
        <f aca="false">IF('Gainsay economics · Gainsay ope'!D5="","",'Gainsay economics · Gainsay ope'!D5)</f>
        <v>9.1857</v>
      </c>
      <c r="E15" s="10" t="n">
        <f aca="false">IF('Gainsay economics · Gainsay ope'!E5="","",'Gainsay economics · Gainsay ope'!E5)</f>
        <v>12.383004</v>
      </c>
      <c r="F15" s="10" t="n">
        <f aca="false">IF('Gainsay economics · Gainsay ope'!F5="","",'Gainsay economics · Gainsay ope'!F5)</f>
        <v>15.65803263</v>
      </c>
      <c r="G15" s="10" t="n">
        <f aca="false">IF('Gainsay economics · Gainsay ope'!G5="","",'Gainsay economics · Gainsay ope'!G5)</f>
        <v>19.0171363386</v>
      </c>
      <c r="H15" s="10" t="n">
        <f aca="false">IF('Gainsay economics · Gainsay ope'!H5="","",'Gainsay economics · Gainsay ope'!H5)</f>
        <v>22.466909170317</v>
      </c>
      <c r="I15" s="10" t="n">
        <f aca="false">IF('Gainsay economics · Gainsay ope'!I5="","",'Gainsay economics · Gainsay ope'!I5)</f>
        <v>26.0142031631762</v>
      </c>
      <c r="J15" s="10" t="n">
        <f aca="false">IF('Gainsay economics · Gainsay ope'!J5="","",'Gainsay economics · Gainsay ope'!J5)</f>
        <v>29.6661433996482</v>
      </c>
      <c r="K15" s="10" t="n">
        <f aca="false">IF('Gainsay economics · Gainsay ope'!K5="","",'Gainsay economics · Gainsay ope'!K5)</f>
        <v>33.4301437455943</v>
      </c>
      <c r="L15" s="10" t="n">
        <f aca="false">IF('Gainsay economics · Gainsay ope'!L5="","",'Gainsay economics · Gainsay ope'!L5)</f>
        <v>37.3139233135588</v>
      </c>
      <c r="M15" s="10" t="n">
        <f aca="false">IF('Gainsay economics · Gainsay ope'!M5="","",'Gainsay economics · Gainsay ope'!M5)</f>
        <v>41.3255236885009</v>
      </c>
      <c r="N15" s="10" t="n">
        <f aca="false">IF('Gainsay economics · Gainsay ope'!N5="","",'Gainsay economics · Gainsay ope'!N5)</f>
        <v>45.4733269559123</v>
      </c>
      <c r="O15" s="10" t="n">
        <f aca="false">IF('Gainsay economics · Gainsay ope'!O5="","",'Gainsay economics · Gainsay ope'!O5)</f>
        <v>49.7660745742046</v>
      </c>
      <c r="P15" s="10" t="n">
        <f aca="false">IF('Gainsay economics · Gainsay ope'!P5="","",'Gainsay economics · Gainsay ope'!P5)</f>
        <v>54.2128871352967</v>
      </c>
    </row>
    <row r="16" customFormat="false" ht="18" hidden="false" customHeight="false" outlineLevel="0" collapsed="false">
      <c r="A16" s="9" t="s">
        <v>150</v>
      </c>
      <c r="B16" s="12" t="n">
        <f aca="false">'Gainsay economics · Gainsay ope'!B15*'Gainsay drivers · Gainsay fixed'!B6</f>
        <v>87</v>
      </c>
      <c r="C16" s="12" t="n">
        <f aca="false">'Gainsay economics · Gainsay ope'!C15*'Gainsay drivers · Gainsay fixed'!B6</f>
        <v>175.74</v>
      </c>
      <c r="D16" s="12" t="n">
        <f aca="false">'Gainsay economics · Gainsay ope'!D15*'Gainsay drivers · Gainsay fixed'!B6</f>
        <v>266.3853</v>
      </c>
      <c r="E16" s="12" t="n">
        <f aca="false">'Gainsay economics · Gainsay ope'!E15*'Gainsay drivers · Gainsay fixed'!B6</f>
        <v>359.107116</v>
      </c>
      <c r="F16" s="12" t="n">
        <f aca="false">'Gainsay economics · Gainsay ope'!F15*'Gainsay drivers · Gainsay fixed'!B6</f>
        <v>454.08294627</v>
      </c>
      <c r="G16" s="12" t="n">
        <f aca="false">'Gainsay economics · Gainsay ope'!G15*'Gainsay drivers · Gainsay fixed'!B6</f>
        <v>551.4969538194</v>
      </c>
      <c r="H16" s="12" t="n">
        <f aca="false">'Gainsay economics · Gainsay ope'!H15*'Gainsay drivers · Gainsay fixed'!B6</f>
        <v>651.540365939193</v>
      </c>
      <c r="I16" s="12" t="n">
        <f aca="false">'Gainsay economics · Gainsay ope'!I15*'Gainsay drivers · Gainsay fixed'!B6</f>
        <v>754.411891732111</v>
      </c>
      <c r="J16" s="12" t="n">
        <f aca="false">'Gainsay economics · Gainsay ope'!J15*'Gainsay drivers · Gainsay fixed'!B6</f>
        <v>860.318158589796</v>
      </c>
      <c r="K16" s="12" t="n">
        <f aca="false">'Gainsay economics · Gainsay ope'!K15*'Gainsay drivers · Gainsay fixed'!B6</f>
        <v>969.474168622233</v>
      </c>
      <c r="L16" s="12" t="n">
        <f aca="false">'Gainsay economics · Gainsay ope'!L15*'Gainsay drivers · Gainsay fixed'!B6</f>
        <v>1082.1037760932</v>
      </c>
      <c r="M16" s="12" t="n">
        <f aca="false">'Gainsay economics · Gainsay ope'!M15*'Gainsay drivers · Gainsay fixed'!B6</f>
        <v>1198.44018696653</v>
      </c>
      <c r="N16" s="12" t="n">
        <f aca="false">'Gainsay economics · Gainsay ope'!N15*'Gainsay drivers · Gainsay fixed'!B6</f>
        <v>1318.72648172146</v>
      </c>
      <c r="O16" s="12" t="n">
        <f aca="false">'Gainsay economics · Gainsay ope'!O15*'Gainsay drivers · Gainsay fixed'!B6</f>
        <v>1443.21616265193</v>
      </c>
      <c r="P16" s="12" t="n">
        <f aca="false">'Gainsay economics · Gainsay ope'!P15*'Gainsay drivers · Gainsay fixed'!B6</f>
        <v>1572.1737269236</v>
      </c>
    </row>
    <row r="17" customFormat="false" ht="18" hidden="false" customHeight="false" outlineLevel="0" collapsed="false">
      <c r="A17" s="9" t="s">
        <v>151</v>
      </c>
      <c r="B17" s="12" t="n">
        <f aca="false">'Gainsay economics · Gainsay ope'!B6*'Gainsay drivers · Gainsay fixed'!B7</f>
        <v>90</v>
      </c>
      <c r="C17" s="12" t="n">
        <f aca="false">'Gainsay economics · Gainsay ope'!C6*'Gainsay drivers · Gainsay fixed'!B7</f>
        <v>94.5</v>
      </c>
      <c r="D17" s="12" t="n">
        <f aca="false">'Gainsay economics · Gainsay ope'!D6*'Gainsay drivers · Gainsay fixed'!B7</f>
        <v>99.225</v>
      </c>
      <c r="E17" s="12" t="n">
        <f aca="false">'Gainsay economics · Gainsay ope'!E6*'Gainsay drivers · Gainsay fixed'!B7</f>
        <v>104.18625</v>
      </c>
      <c r="F17" s="12" t="n">
        <f aca="false">'Gainsay economics · Gainsay ope'!F6*'Gainsay drivers · Gainsay fixed'!B7</f>
        <v>109.3955625</v>
      </c>
      <c r="G17" s="12" t="n">
        <f aca="false">'Gainsay economics · Gainsay ope'!G6*'Gainsay drivers · Gainsay fixed'!B7</f>
        <v>114.865340625</v>
      </c>
      <c r="H17" s="12" t="n">
        <f aca="false">'Gainsay economics · Gainsay ope'!H6*'Gainsay drivers · Gainsay fixed'!B7</f>
        <v>120.60860765625</v>
      </c>
      <c r="I17" s="12" t="n">
        <f aca="false">'Gainsay economics · Gainsay ope'!I6*'Gainsay drivers · Gainsay fixed'!B7</f>
        <v>126.639038039063</v>
      </c>
      <c r="J17" s="12" t="n">
        <f aca="false">'Gainsay economics · Gainsay ope'!J6*'Gainsay drivers · Gainsay fixed'!B7</f>
        <v>132.970989941016</v>
      </c>
      <c r="K17" s="12" t="n">
        <f aca="false">'Gainsay economics · Gainsay ope'!K6*'Gainsay drivers · Gainsay fixed'!B7</f>
        <v>139.619539438066</v>
      </c>
      <c r="L17" s="12" t="n">
        <f aca="false">'Gainsay economics · Gainsay ope'!L6*'Gainsay drivers · Gainsay fixed'!B7</f>
        <v>146.60051640997</v>
      </c>
      <c r="M17" s="12" t="n">
        <f aca="false">'Gainsay economics · Gainsay ope'!M6*'Gainsay drivers · Gainsay fixed'!B7</f>
        <v>153.930542230468</v>
      </c>
      <c r="N17" s="12" t="n">
        <f aca="false">'Gainsay economics · Gainsay ope'!N6*'Gainsay drivers · Gainsay fixed'!B7</f>
        <v>161.627069341992</v>
      </c>
      <c r="O17" s="12" t="n">
        <f aca="false">'Gainsay economics · Gainsay ope'!O6*'Gainsay drivers · Gainsay fixed'!B7</f>
        <v>169.708422809091</v>
      </c>
      <c r="P17" s="12" t="n">
        <f aca="false">'Gainsay economics · Gainsay ope'!P6*'Gainsay drivers · Gainsay fixed'!B7</f>
        <v>178.193843949546</v>
      </c>
    </row>
    <row r="18" customFormat="false" ht="18" hidden="false" customHeight="false" outlineLevel="0" collapsed="false">
      <c r="A18" s="9" t="s">
        <v>152</v>
      </c>
      <c r="B18" s="10" t="n">
        <f aca="false">'Gainsay economics · Gainsay ope'!B15*'Gainsay drivers · Gainsay fixed'!B8</f>
        <v>6</v>
      </c>
      <c r="C18" s="10" t="n">
        <f aca="false">'Gainsay economics · Gainsay ope'!C15*'Gainsay drivers · Gainsay fixed'!B8</f>
        <v>12.12</v>
      </c>
      <c r="D18" s="10" t="n">
        <f aca="false">'Gainsay economics · Gainsay ope'!D15*'Gainsay drivers · Gainsay fixed'!B8</f>
        <v>18.3714</v>
      </c>
      <c r="E18" s="10" t="n">
        <f aca="false">'Gainsay economics · Gainsay ope'!E15*'Gainsay drivers · Gainsay fixed'!B8</f>
        <v>24.766008</v>
      </c>
      <c r="F18" s="10" t="n">
        <f aca="false">'Gainsay economics · Gainsay ope'!F15*'Gainsay drivers · Gainsay fixed'!B8</f>
        <v>31.31606526</v>
      </c>
      <c r="G18" s="10" t="n">
        <f aca="false">'Gainsay economics · Gainsay ope'!G15*'Gainsay drivers · Gainsay fixed'!B8</f>
        <v>38.0342726772</v>
      </c>
      <c r="H18" s="10" t="n">
        <f aca="false">'Gainsay economics · Gainsay ope'!H15*'Gainsay drivers · Gainsay fixed'!B8</f>
        <v>44.933818340634</v>
      </c>
      <c r="I18" s="10" t="n">
        <f aca="false">'Gainsay economics · Gainsay ope'!I15*'Gainsay drivers · Gainsay fixed'!B8</f>
        <v>52.0284063263525</v>
      </c>
      <c r="J18" s="10" t="n">
        <f aca="false">'Gainsay economics · Gainsay ope'!J15*'Gainsay drivers · Gainsay fixed'!B8</f>
        <v>59.3322867992963</v>
      </c>
      <c r="K18" s="10" t="n">
        <f aca="false">'Gainsay economics · Gainsay ope'!K15*'Gainsay drivers · Gainsay fixed'!B8</f>
        <v>66.8602874911885</v>
      </c>
      <c r="L18" s="10" t="n">
        <f aca="false">'Gainsay economics · Gainsay ope'!L15*'Gainsay drivers · Gainsay fixed'!B8</f>
        <v>74.6278466271175</v>
      </c>
      <c r="M18" s="10" t="n">
        <f aca="false">'Gainsay economics · Gainsay ope'!M15*'Gainsay drivers · Gainsay fixed'!B8</f>
        <v>82.6510473770019</v>
      </c>
      <c r="N18" s="10" t="n">
        <f aca="false">'Gainsay economics · Gainsay ope'!N15*'Gainsay drivers · Gainsay fixed'!B8</f>
        <v>90.9466539118246</v>
      </c>
      <c r="O18" s="10" t="n">
        <f aca="false">'Gainsay economics · Gainsay ope'!O15*'Gainsay drivers · Gainsay fixed'!B8</f>
        <v>99.5321491484093</v>
      </c>
      <c r="P18" s="10" t="n">
        <f aca="false">'Gainsay economics · Gainsay ope'!P15*'Gainsay drivers · Gainsay fixed'!B8</f>
        <v>108.425774270593</v>
      </c>
    </row>
    <row r="19" customFormat="false" ht="18" hidden="false" customHeight="false" outlineLevel="0" collapsed="false">
      <c r="A19" s="9" t="s">
        <v>153</v>
      </c>
      <c r="B19" s="10" t="n">
        <f aca="false">IF('Gainsay drivers · Gainsay fixed'!B11="","",'Gainsay drivers · Gainsay fixed'!B11)</f>
        <v>20</v>
      </c>
      <c r="C19" s="10" t="n">
        <f aca="false">IF('Gainsay drivers · Gainsay fixed'!B11="","",'Gainsay drivers · Gainsay fixed'!B11)</f>
        <v>20</v>
      </c>
      <c r="D19" s="10" t="n">
        <f aca="false">IF('Gainsay drivers · Gainsay fixed'!B11="","",'Gainsay drivers · Gainsay fixed'!B11)</f>
        <v>20</v>
      </c>
      <c r="E19" s="10" t="n">
        <f aca="false">IF('Gainsay drivers · Gainsay fixed'!B11="","",'Gainsay drivers · Gainsay fixed'!B11)</f>
        <v>20</v>
      </c>
      <c r="F19" s="10" t="n">
        <f aca="false">IF('Gainsay drivers · Gainsay fixed'!B11="","",'Gainsay drivers · Gainsay fixed'!B11)</f>
        <v>20</v>
      </c>
      <c r="G19" s="10" t="n">
        <f aca="false">IF('Gainsay drivers · Gainsay fixed'!B11="","",'Gainsay drivers · Gainsay fixed'!B11)</f>
        <v>20</v>
      </c>
      <c r="H19" s="10" t="n">
        <f aca="false">IF('Gainsay drivers · Gainsay fixed'!B11="","",'Gainsay drivers · Gainsay fixed'!B11)</f>
        <v>20</v>
      </c>
      <c r="I19" s="10" t="n">
        <f aca="false">IF('Gainsay drivers · Gainsay fixed'!B11="","",'Gainsay drivers · Gainsay fixed'!B11)</f>
        <v>20</v>
      </c>
      <c r="J19" s="10" t="n">
        <f aca="false">IF('Gainsay drivers · Gainsay fixed'!B11="","",'Gainsay drivers · Gainsay fixed'!B11)</f>
        <v>20</v>
      </c>
      <c r="K19" s="10" t="n">
        <f aca="false">IF('Gainsay drivers · Gainsay fixed'!B11="","",'Gainsay drivers · Gainsay fixed'!B11)</f>
        <v>20</v>
      </c>
      <c r="L19" s="10" t="n">
        <f aca="false">IF('Gainsay drivers · Gainsay fixed'!B11="","",'Gainsay drivers · Gainsay fixed'!B11)</f>
        <v>20</v>
      </c>
      <c r="M19" s="10" t="n">
        <f aca="false">IF('Gainsay drivers · Gainsay fixed'!B11="","",'Gainsay drivers · Gainsay fixed'!B11)</f>
        <v>20</v>
      </c>
      <c r="N19" s="10" t="n">
        <f aca="false">IF('Gainsay drivers · Gainsay fixed'!B11="","",'Gainsay drivers · Gainsay fixed'!B11)</f>
        <v>20</v>
      </c>
      <c r="O19" s="10" t="n">
        <f aca="false">IF('Gainsay drivers · Gainsay fixed'!B11="","",'Gainsay drivers · Gainsay fixed'!B11)</f>
        <v>20</v>
      </c>
      <c r="P19" s="10" t="n">
        <f aca="false">IF('Gainsay drivers · Gainsay fixed'!B11="","",'Gainsay drivers · Gainsay fixed'!B11)</f>
        <v>20</v>
      </c>
    </row>
    <row r="20" customFormat="false" ht="18" hidden="false" customHeight="false" outlineLevel="0" collapsed="false">
      <c r="A20" s="9" t="s">
        <v>154</v>
      </c>
      <c r="B20" s="10" t="n">
        <f aca="false">('Gainsay economics · Gainsay ope'!B18+'Gainsay economics · Gainsay ope'!B6)*'Gainsay drivers · Gainsay fixed'!B9</f>
        <v>560</v>
      </c>
      <c r="C20" s="10" t="n">
        <f aca="false">('Gainsay economics · Gainsay ope'!C18+'Gainsay economics · Gainsay ope'!C6)*'Gainsay drivers · Gainsay fixed'!B9</f>
        <v>791.7</v>
      </c>
      <c r="D20" s="10" t="n">
        <f aca="false">('Gainsay economics · Gainsay ope'!D18+'Gainsay economics · Gainsay ope'!D6)*'Gainsay drivers · Gainsay fixed'!B9</f>
        <v>1028.874</v>
      </c>
      <c r="E20" s="10" t="n">
        <f aca="false">('Gainsay economics · Gainsay ope'!E18+'Gainsay economics · Gainsay ope'!E6)*'Gainsay drivers · Gainsay fixed'!B9</f>
        <v>1271.97903</v>
      </c>
      <c r="F20" s="10" t="n">
        <f aca="false">('Gainsay economics · Gainsay ope'!F18+'Gainsay economics · Gainsay ope'!F6)*'Gainsay drivers · Gainsay fixed'!B9</f>
        <v>1521.4894716</v>
      </c>
      <c r="G20" s="10" t="n">
        <f aca="false">('Gainsay economics · Gainsay ope'!G18+'Gainsay economics · Gainsay ope'!G6)*'Gainsay drivers · Gainsay fixed'!B9</f>
        <v>1777.898090577</v>
      </c>
      <c r="H20" s="10" t="n">
        <f aca="false">('Gainsay economics · Gainsay ope'!H18+'Gainsay economics · Gainsay ope'!H6)*'Gainsay drivers · Gainsay fixed'!B9</f>
        <v>2041.71711614094</v>
      </c>
      <c r="I20" s="10" t="n">
        <f aca="false">('Gainsay economics · Gainsay ope'!I18+'Gainsay economics · Gainsay ope'!I6)*'Gainsay drivers · Gainsay fixed'!B9</f>
        <v>2313.47936935202</v>
      </c>
      <c r="J20" s="10" t="n">
        <f aca="false">('Gainsay economics · Gainsay ope'!J18+'Gainsay economics · Gainsay ope'!J6)*'Gainsay drivers · Gainsay fixed'!B9</f>
        <v>2593.73944330154</v>
      </c>
      <c r="K20" s="10" t="n">
        <f aca="false">('Gainsay economics · Gainsay ope'!K18+'Gainsay economics · Gainsay ope'!K6)*'Gainsay drivers · Gainsay fixed'!B9</f>
        <v>2883.07493778408</v>
      </c>
      <c r="L20" s="10" t="n">
        <f aca="false">('Gainsay economics · Gainsay ope'!L18+'Gainsay economics · Gainsay ope'!L6)*'Gainsay drivers · Gainsay fixed'!B9</f>
        <v>3182.08775132122</v>
      </c>
      <c r="M20" s="10" t="n">
        <f aca="false">('Gainsay economics · Gainsay ope'!M18+'Gainsay economics · Gainsay ope'!M6)*'Gainsay drivers · Gainsay fixed'!B9</f>
        <v>3491.40543353578</v>
      </c>
      <c r="N20" s="10" t="n">
        <f aca="false">('Gainsay economics · Gainsay ope'!N18+'Gainsay economics · Gainsay ope'!N6)*'Gainsay drivers · Gainsay fixed'!B9</f>
        <v>3811.68260102161</v>
      </c>
      <c r="O20" s="10" t="n">
        <f aca="false">('Gainsay economics · Gainsay ope'!O18+'Gainsay economics · Gainsay ope'!O6)*'Gainsay drivers · Gainsay fixed'!B9</f>
        <v>4143.60242000746</v>
      </c>
      <c r="P20" s="10" t="n">
        <f aca="false">('Gainsay economics · Gainsay ope'!P18+'Gainsay economics · Gainsay ope'!P6)*'Gainsay drivers · Gainsay fixed'!B9</f>
        <v>4487.87815927456</v>
      </c>
    </row>
    <row r="21" customFormat="false" ht="18" hidden="false" customHeight="false" outlineLevel="0" collapsed="false">
      <c r="A21" s="9" t="s">
        <v>155</v>
      </c>
      <c r="B21" s="10" t="n">
        <f aca="false">'Gainsay economics · Gainsay ope'!B19*'Gainsay drivers · Gainsay fixed'!B10</f>
        <v>600</v>
      </c>
      <c r="C21" s="10" t="n">
        <f aca="false">'Gainsay economics · Gainsay ope'!C19*'Gainsay drivers · Gainsay fixed'!B10</f>
        <v>600</v>
      </c>
      <c r="D21" s="10" t="n">
        <f aca="false">'Gainsay economics · Gainsay ope'!D19*'Gainsay drivers · Gainsay fixed'!B10</f>
        <v>600</v>
      </c>
      <c r="E21" s="10" t="n">
        <f aca="false">'Gainsay economics · Gainsay ope'!E19*'Gainsay drivers · Gainsay fixed'!B10</f>
        <v>600</v>
      </c>
      <c r="F21" s="10" t="n">
        <f aca="false">'Gainsay economics · Gainsay ope'!F19*'Gainsay drivers · Gainsay fixed'!B10</f>
        <v>600</v>
      </c>
      <c r="G21" s="10" t="n">
        <f aca="false">'Gainsay economics · Gainsay ope'!G19*'Gainsay drivers · Gainsay fixed'!B10</f>
        <v>600</v>
      </c>
      <c r="H21" s="10" t="n">
        <f aca="false">'Gainsay economics · Gainsay ope'!H19*'Gainsay drivers · Gainsay fixed'!B10</f>
        <v>600</v>
      </c>
      <c r="I21" s="10" t="n">
        <f aca="false">'Gainsay economics · Gainsay ope'!I19*'Gainsay drivers · Gainsay fixed'!B10</f>
        <v>600</v>
      </c>
      <c r="J21" s="10" t="n">
        <f aca="false">'Gainsay economics · Gainsay ope'!J19*'Gainsay drivers · Gainsay fixed'!B10</f>
        <v>600</v>
      </c>
      <c r="K21" s="10" t="n">
        <f aca="false">'Gainsay economics · Gainsay ope'!K19*'Gainsay drivers · Gainsay fixed'!B10</f>
        <v>600</v>
      </c>
      <c r="L21" s="10" t="n">
        <f aca="false">'Gainsay economics · Gainsay ope'!L19*'Gainsay drivers · Gainsay fixed'!B10</f>
        <v>600</v>
      </c>
      <c r="M21" s="10" t="n">
        <f aca="false">'Gainsay economics · Gainsay ope'!M19*'Gainsay drivers · Gainsay fixed'!B10</f>
        <v>600</v>
      </c>
      <c r="N21" s="10" t="n">
        <f aca="false">'Gainsay economics · Gainsay ope'!N19*'Gainsay drivers · Gainsay fixed'!B10</f>
        <v>600</v>
      </c>
      <c r="O21" s="10" t="n">
        <f aca="false">'Gainsay economics · Gainsay ope'!O19*'Gainsay drivers · Gainsay fixed'!B10</f>
        <v>600</v>
      </c>
      <c r="P21" s="10" t="n">
        <f aca="false">'Gainsay economics · Gainsay ope'!P19*'Gainsay drivers · Gainsay fixed'!B10</f>
        <v>600</v>
      </c>
    </row>
    <row r="22" customFormat="false" ht="18" hidden="false" customHeight="false" outlineLevel="0" collapsed="false">
      <c r="A22" s="9" t="s">
        <v>156</v>
      </c>
      <c r="B22" s="12" t="n">
        <f aca="false">'Gainsay economics · Gainsay ope'!B20*'Gainsay drivers · Gainsay fixed'!B5</f>
        <v>14.56</v>
      </c>
      <c r="C22" s="12" t="n">
        <f aca="false">'Gainsay economics · Gainsay ope'!C20*'Gainsay drivers · Gainsay fixed'!B5</f>
        <v>20.5842</v>
      </c>
      <c r="D22" s="12" t="n">
        <f aca="false">'Gainsay economics · Gainsay ope'!D20*'Gainsay drivers · Gainsay fixed'!B5</f>
        <v>26.750724</v>
      </c>
      <c r="E22" s="12" t="n">
        <f aca="false">'Gainsay economics · Gainsay ope'!E20*'Gainsay drivers · Gainsay fixed'!B5</f>
        <v>33.07145478</v>
      </c>
      <c r="F22" s="12" t="n">
        <f aca="false">'Gainsay economics · Gainsay ope'!F20*'Gainsay drivers · Gainsay fixed'!B5</f>
        <v>39.5587262616</v>
      </c>
      <c r="G22" s="12" t="n">
        <f aca="false">'Gainsay economics · Gainsay ope'!G20*'Gainsay drivers · Gainsay fixed'!B5</f>
        <v>46.225350355002</v>
      </c>
      <c r="H22" s="12" t="n">
        <f aca="false">'Gainsay economics · Gainsay ope'!H20*'Gainsay drivers · Gainsay fixed'!B5</f>
        <v>53.0846450196645</v>
      </c>
      <c r="I22" s="12" t="n">
        <f aca="false">'Gainsay economics · Gainsay ope'!I20*'Gainsay drivers · Gainsay fixed'!B5</f>
        <v>60.1504636031526</v>
      </c>
      <c r="J22" s="12" t="n">
        <f aca="false">'Gainsay economics · Gainsay ope'!J20*'Gainsay drivers · Gainsay fixed'!B5</f>
        <v>67.4372255258401</v>
      </c>
      <c r="K22" s="12" t="n">
        <f aca="false">'Gainsay economics · Gainsay ope'!K20*'Gainsay drivers · Gainsay fixed'!B5</f>
        <v>74.959948382386</v>
      </c>
      <c r="L22" s="12" t="n">
        <f aca="false">'Gainsay economics · Gainsay ope'!L20*'Gainsay drivers · Gainsay fixed'!B5</f>
        <v>82.7342815343517</v>
      </c>
      <c r="M22" s="12" t="n">
        <f aca="false">'Gainsay economics · Gainsay ope'!M20*'Gainsay drivers · Gainsay fixed'!B5</f>
        <v>90.7765412719302</v>
      </c>
      <c r="N22" s="12" t="n">
        <f aca="false">'Gainsay economics · Gainsay ope'!N20*'Gainsay drivers · Gainsay fixed'!B5</f>
        <v>99.1037476265618</v>
      </c>
      <c r="O22" s="12" t="n">
        <f aca="false">'Gainsay economics · Gainsay ope'!O20*'Gainsay drivers · Gainsay fixed'!B5</f>
        <v>107.733662920194</v>
      </c>
      <c r="P22" s="12" t="n">
        <f aca="false">'Gainsay economics · Gainsay ope'!P20*'Gainsay drivers · Gainsay fixed'!B5</f>
        <v>116.684832141139</v>
      </c>
    </row>
    <row r="23" customFormat="false" ht="18" hidden="false" customHeight="false" outlineLevel="0" collapsed="false">
      <c r="A23" s="9" t="s">
        <v>157</v>
      </c>
      <c r="B23" s="12" t="n">
        <f aca="false">'Gainsay economics · Gainsay ope'!B21*'Gainsay drivers · Gainsay fixed'!B5</f>
        <v>15.6</v>
      </c>
      <c r="C23" s="12" t="n">
        <f aca="false">'Gainsay economics · Gainsay ope'!C21*'Gainsay drivers · Gainsay fixed'!B5</f>
        <v>15.6</v>
      </c>
      <c r="D23" s="12" t="n">
        <f aca="false">'Gainsay economics · Gainsay ope'!D21*'Gainsay drivers · Gainsay fixed'!B5</f>
        <v>15.6</v>
      </c>
      <c r="E23" s="12" t="n">
        <f aca="false">'Gainsay economics · Gainsay ope'!E21*'Gainsay drivers · Gainsay fixed'!B5</f>
        <v>15.6</v>
      </c>
      <c r="F23" s="12" t="n">
        <f aca="false">'Gainsay economics · Gainsay ope'!F21*'Gainsay drivers · Gainsay fixed'!B5</f>
        <v>15.6</v>
      </c>
      <c r="G23" s="12" t="n">
        <f aca="false">'Gainsay economics · Gainsay ope'!G21*'Gainsay drivers · Gainsay fixed'!B5</f>
        <v>15.6</v>
      </c>
      <c r="H23" s="12" t="n">
        <f aca="false">'Gainsay economics · Gainsay ope'!H21*'Gainsay drivers · Gainsay fixed'!B5</f>
        <v>15.6</v>
      </c>
      <c r="I23" s="12" t="n">
        <f aca="false">'Gainsay economics · Gainsay ope'!I21*'Gainsay drivers · Gainsay fixed'!B5</f>
        <v>15.6</v>
      </c>
      <c r="J23" s="12" t="n">
        <f aca="false">'Gainsay economics · Gainsay ope'!J21*'Gainsay drivers · Gainsay fixed'!B5</f>
        <v>15.6</v>
      </c>
      <c r="K23" s="12" t="n">
        <f aca="false">'Gainsay economics · Gainsay ope'!K21*'Gainsay drivers · Gainsay fixed'!B5</f>
        <v>15.6</v>
      </c>
      <c r="L23" s="12" t="n">
        <f aca="false">'Gainsay economics · Gainsay ope'!L21*'Gainsay drivers · Gainsay fixed'!B5</f>
        <v>15.6</v>
      </c>
      <c r="M23" s="12" t="n">
        <f aca="false">'Gainsay economics · Gainsay ope'!M21*'Gainsay drivers · Gainsay fixed'!B5</f>
        <v>15.6</v>
      </c>
      <c r="N23" s="12" t="n">
        <f aca="false">'Gainsay economics · Gainsay ope'!N21*'Gainsay drivers · Gainsay fixed'!B5</f>
        <v>15.6</v>
      </c>
      <c r="O23" s="12" t="n">
        <f aca="false">'Gainsay economics · Gainsay ope'!O21*'Gainsay drivers · Gainsay fixed'!B5</f>
        <v>15.6</v>
      </c>
      <c r="P23" s="12" t="n">
        <f aca="false">'Gainsay economics · Gainsay ope'!P21*'Gainsay drivers · Gainsay fixed'!B5</f>
        <v>15.6</v>
      </c>
    </row>
    <row r="24" customFormat="false" ht="18" hidden="false" customHeight="false" outlineLevel="0" collapsed="false">
      <c r="A24" s="9" t="s">
        <v>158</v>
      </c>
      <c r="B24" s="12" t="n">
        <f aca="false">'Gainsay economics · Gainsay ope'!B7*'Gainsay drivers · Gainsay fixed'!B23+('Gainsay economics · Gainsay ope'!B15+'Gainsay economics · Gainsay ope'!B6)*'Gainsay drivers · Gainsay fixed'!B24</f>
        <v>9.033</v>
      </c>
      <c r="C24" s="12" t="n">
        <f aca="false">'Gainsay economics · Gainsay ope'!C7*'Gainsay drivers · Gainsay fixed'!B23+('Gainsay economics · Gainsay ope'!C15+'Gainsay economics · Gainsay ope'!C6)*'Gainsay drivers · Gainsay fixed'!B24</f>
        <v>12.80496</v>
      </c>
      <c r="D24" s="12" t="n">
        <f aca="false">'Gainsay economics · Gainsay ope'!D7*'Gainsay drivers · Gainsay fixed'!B23+('Gainsay economics · Gainsay ope'!D15+'Gainsay economics · Gainsay ope'!D6)*'Gainsay drivers · Gainsay fixed'!B24</f>
        <v>16.6659087</v>
      </c>
      <c r="E24" s="12" t="n">
        <f aca="false">'Gainsay economics · Gainsay ope'!E7*'Gainsay drivers · Gainsay fixed'!B23+('Gainsay economics · Gainsay ope'!E15+'Gainsay economics · Gainsay ope'!E6)*'Gainsay drivers · Gainsay fixed'!B24</f>
        <v>20.623283814</v>
      </c>
      <c r="F24" s="12" t="n">
        <f aca="false">'Gainsay economics · Gainsay ope'!F7*'Gainsay drivers · Gainsay fixed'!B23+('Gainsay economics · Gainsay ope'!F15+'Gainsay economics · Gainsay ope'!F6)*'Gainsay drivers · Gainsay fixed'!B24</f>
        <v>24.68480529333</v>
      </c>
      <c r="G24" s="12" t="n">
        <f aca="false">'Gainsay economics · Gainsay ope'!G7*'Gainsay drivers · Gainsay fixed'!B23+('Gainsay economics · Gainsay ope'!G15+'Gainsay economics · Gainsay ope'!G6)*'Gainsay drivers · Gainsay fixed'!B24</f>
        <v>28.8584921279676</v>
      </c>
      <c r="H24" s="12" t="n">
        <f aca="false">'Gainsay economics · Gainsay ope'!H7*'Gainsay drivers · Gainsay fixed'!B23+('Gainsay economics · Gainsay ope'!H15+'Gainsay economics · Gainsay ope'!H6)*'Gainsay drivers · Gainsay fixed'!B24</f>
        <v>33.152679907238</v>
      </c>
      <c r="I24" s="12" t="n">
        <f aca="false">'Gainsay economics · Gainsay ope'!I7*'Gainsay drivers · Gainsay fixed'!B23+('Gainsay economics · Gainsay ope'!I15+'Gainsay economics · Gainsay ope'!I6)*'Gainsay drivers · Gainsay fixed'!B24</f>
        <v>37.5760391802857</v>
      </c>
      <c r="J24" s="12" t="n">
        <f aca="false">'Gainsay economics · Gainsay ope'!J7*'Gainsay drivers · Gainsay fixed'!B23+('Gainsay economics · Gainsay ope'!J15+'Gainsay economics · Gainsay ope'!J6)*'Gainsay drivers · Gainsay fixed'!B24</f>
        <v>42.1375946586552</v>
      </c>
      <c r="K24" s="12" t="n">
        <f aca="false">'Gainsay economics · Gainsay ope'!K7*'Gainsay drivers · Gainsay fixed'!B23+('Gainsay economics · Gainsay ope'!K15+'Gainsay economics · Gainsay ope'!K6)*'Gainsay drivers · Gainsay fixed'!B24</f>
        <v>46.8467453053625</v>
      </c>
      <c r="L24" s="12" t="n">
        <f aca="false">'Gainsay economics · Gainsay ope'!L7*'Gainsay drivers · Gainsay fixed'!B23+('Gainsay economics · Gainsay ope'!L15+'Gainsay economics · Gainsay ope'!L6)*'Gainsay drivers · Gainsay fixed'!B24</f>
        <v>51.713285356992</v>
      </c>
      <c r="M24" s="12" t="n">
        <f aca="false">'Gainsay economics · Gainsay ope'!M7*'Gainsay drivers · Gainsay fixed'!B23+('Gainsay economics · Gainsay ope'!M15+'Gainsay economics · Gainsay ope'!M6)*'Gainsay drivers · Gainsay fixed'!B24</f>
        <v>56.7474263276121</v>
      </c>
      <c r="N24" s="12" t="n">
        <f aca="false">'Gainsay economics · Gainsay ope'!N7*'Gainsay drivers · Gainsay fixed'!B23+('Gainsay economics · Gainsay ope'!N15+'Gainsay economics · Gainsay ope'!N6)*'Gainsay drivers · Gainsay fixed'!B24</f>
        <v>61.9598200456801</v>
      </c>
      <c r="O24" s="12" t="n">
        <f aca="false">'Gainsay economics · Gainsay ope'!O7*'Gainsay drivers · Gainsay fixed'!B23+('Gainsay economics · Gainsay ope'!O15+'Gainsay economics · Gainsay ope'!O6)*'Gainsay drivers · Gainsay fixed'!B24</f>
        <v>67.3615827776009</v>
      </c>
      <c r="P24" s="12" t="n">
        <f aca="false">'Gainsay economics · Gainsay ope'!P7*'Gainsay drivers · Gainsay fixed'!B23+('Gainsay economics · Gainsay ope'!P15+'Gainsay economics · Gainsay ope'!P6)*'Gainsay drivers · Gainsay fixed'!B24</f>
        <v>72.9643204942286</v>
      </c>
    </row>
    <row r="25" customFormat="false" ht="18" hidden="false" customHeight="false" outlineLevel="0" collapsed="false">
      <c r="A25" s="9" t="s">
        <v>159</v>
      </c>
      <c r="B25" s="12" t="n">
        <f aca="false">'Gainsay drivers · Gainsay fixed'!B20/12</f>
        <v>250</v>
      </c>
      <c r="C25" s="12" t="n">
        <f aca="false">'Gainsay drivers · Gainsay fixed'!B20/12</f>
        <v>250</v>
      </c>
      <c r="D25" s="12" t="n">
        <f aca="false">'Gainsay drivers · Gainsay fixed'!B20/12</f>
        <v>250</v>
      </c>
      <c r="E25" s="12" t="n">
        <f aca="false">'Gainsay drivers · Gainsay fixed'!B20/12</f>
        <v>250</v>
      </c>
      <c r="F25" s="12" t="n">
        <f aca="false">'Gainsay drivers · Gainsay fixed'!B20/12</f>
        <v>250</v>
      </c>
      <c r="G25" s="12" t="n">
        <f aca="false">'Gainsay drivers · Gainsay fixed'!B20/12</f>
        <v>250</v>
      </c>
      <c r="H25" s="12" t="n">
        <f aca="false">'Gainsay drivers · Gainsay fixed'!B20/12</f>
        <v>250</v>
      </c>
      <c r="I25" s="12" t="n">
        <f aca="false">'Gainsay drivers · Gainsay fixed'!B20/12</f>
        <v>250</v>
      </c>
      <c r="J25" s="12" t="n">
        <f aca="false">'Gainsay drivers · Gainsay fixed'!B20/12</f>
        <v>250</v>
      </c>
      <c r="K25" s="12" t="n">
        <f aca="false">'Gainsay drivers · Gainsay fixed'!B20/12</f>
        <v>250</v>
      </c>
      <c r="L25" s="12" t="n">
        <f aca="false">'Gainsay drivers · Gainsay fixed'!B20/12</f>
        <v>250</v>
      </c>
      <c r="M25" s="12" t="n">
        <f aca="false">'Gainsay drivers · Gainsay fixed'!B20/12</f>
        <v>250</v>
      </c>
      <c r="N25" s="12" t="n">
        <f aca="false">'Gainsay drivers · Gainsay fixed'!B20/12</f>
        <v>250</v>
      </c>
      <c r="O25" s="12" t="n">
        <f aca="false">'Gainsay drivers · Gainsay fixed'!B20/12</f>
        <v>250</v>
      </c>
      <c r="P25" s="12" t="n">
        <f aca="false">'Gainsay drivers · Gainsay fixed'!B20/12</f>
        <v>250</v>
      </c>
    </row>
    <row r="26" customFormat="false" ht="18" hidden="false" customHeight="false" outlineLevel="0" collapsed="false">
      <c r="A26" s="9" t="s">
        <v>160</v>
      </c>
      <c r="B26" s="12" t="n">
        <f aca="false">'Gainsay economics · Gainsay ope'!B7-'Gainsay economics · Gainsay ope'!B22-'Gainsay economics · Gainsay ope'!B23-'Gainsay economics · Gainsay ope'!B24-'Gainsay drivers · Gainsay fixed'!B15-'Gainsay economics · Gainsay ope'!B25</f>
        <v>-127.193</v>
      </c>
      <c r="C26" s="12" t="n">
        <f aca="false">'Gainsay economics · Gainsay ope'!C7-'Gainsay economics · Gainsay ope'!C22-'Gainsay economics · Gainsay ope'!C23-'Gainsay economics · Gainsay ope'!C24-'Gainsay drivers · Gainsay fixed'!B15-'Gainsay economics · Gainsay ope'!C25</f>
        <v>-43.74916</v>
      </c>
      <c r="D26" s="12" t="n">
        <f aca="false">'Gainsay economics · Gainsay ope'!D7-'Gainsay economics · Gainsay ope'!D22-'Gainsay economics · Gainsay ope'!D23-'Gainsay economics · Gainsay ope'!D24-'Gainsay drivers · Gainsay fixed'!B15-'Gainsay economics · Gainsay ope'!D25</f>
        <v>41.5936673000001</v>
      </c>
      <c r="E26" s="12" t="n">
        <f aca="false">'Gainsay economics · Gainsay ope'!E7-'Gainsay economics · Gainsay ope'!E22-'Gainsay economics · Gainsay ope'!E23-'Gainsay economics · Gainsay ope'!E24-'Gainsay drivers · Gainsay fixed'!B15-'Gainsay economics · Gainsay ope'!E25</f>
        <v>128.998627406</v>
      </c>
      <c r="F26" s="12" t="n">
        <f aca="false">'Gainsay economics · Gainsay ope'!F7-'Gainsay economics · Gainsay ope'!F22-'Gainsay economics · Gainsay ope'!F23-'Gainsay economics · Gainsay ope'!F24-'Gainsay drivers · Gainsay fixed'!B15-'Gainsay economics · Gainsay ope'!F25</f>
        <v>218.63497721507</v>
      </c>
      <c r="G26" s="12" t="n">
        <f aca="false">'Gainsay economics · Gainsay ope'!G7-'Gainsay economics · Gainsay ope'!G22-'Gainsay economics · Gainsay ope'!G23-'Gainsay economics · Gainsay ope'!G24-'Gainsay drivers · Gainsay fixed'!B15-'Gainsay economics · Gainsay ope'!G25</f>
        <v>310.678451961431</v>
      </c>
      <c r="H26" s="12" t="n">
        <f aca="false">'Gainsay economics · Gainsay ope'!H7-'Gainsay economics · Gainsay ope'!H22-'Gainsay economics · Gainsay ope'!H23-'Gainsay economics · Gainsay ope'!H24-'Gainsay drivers · Gainsay fixed'!B15-'Gainsay economics · Gainsay ope'!H25</f>
        <v>405.311648668541</v>
      </c>
      <c r="I26" s="12" t="n">
        <f aca="false">'Gainsay economics · Gainsay ope'!I7-'Gainsay economics · Gainsay ope'!I22-'Gainsay economics · Gainsay ope'!I23-'Gainsay economics · Gainsay ope'!I24-'Gainsay drivers · Gainsay fixed'!B15-'Gainsay economics · Gainsay ope'!I25</f>
        <v>502.724426987735</v>
      </c>
      <c r="J26" s="12" t="n">
        <f aca="false">'Gainsay economics · Gainsay ope'!J7-'Gainsay economics · Gainsay ope'!J22-'Gainsay economics · Gainsay ope'!J23-'Gainsay economics · Gainsay ope'!J24-'Gainsay drivers · Gainsay fixed'!B15-'Gainsay economics · Gainsay ope'!J25</f>
        <v>603.114328346317</v>
      </c>
      <c r="K26" s="12" t="n">
        <f aca="false">'Gainsay economics · Gainsay ope'!K7-'Gainsay economics · Gainsay ope'!K22-'Gainsay economics · Gainsay ope'!K23-'Gainsay economics · Gainsay ope'!K24-'Gainsay drivers · Gainsay fixed'!B15-'Gainsay economics · Gainsay ope'!K25</f>
        <v>706.687014372551</v>
      </c>
      <c r="L26" s="12" t="n">
        <f aca="false">'Gainsay economics · Gainsay ope'!L7-'Gainsay economics · Gainsay ope'!L22-'Gainsay economics · Gainsay ope'!L23-'Gainsay economics · Gainsay ope'!L24-'Gainsay drivers · Gainsay fixed'!B15-'Gainsay economics · Gainsay ope'!L25</f>
        <v>813.65672561183</v>
      </c>
      <c r="M26" s="12" t="n">
        <f aca="false">'Gainsay economics · Gainsay ope'!M7-'Gainsay economics · Gainsay ope'!M22-'Gainsay economics · Gainsay ope'!M23-'Gainsay economics · Gainsay ope'!M24-'Gainsay drivers · Gainsay fixed'!B15-'Gainsay economics · Gainsay ope'!M25</f>
        <v>924.246761597453</v>
      </c>
      <c r="N26" s="12" t="n">
        <f aca="false">'Gainsay economics · Gainsay ope'!N7-'Gainsay economics · Gainsay ope'!N22-'Gainsay economics · Gainsay ope'!N23-'Gainsay economics · Gainsay ope'!N24-'Gainsay drivers · Gainsay fixed'!B15-'Gainsay economics · Gainsay ope'!N25</f>
        <v>1038.68998339121</v>
      </c>
      <c r="O26" s="12" t="n">
        <f aca="false">'Gainsay economics · Gainsay ope'!O7-'Gainsay economics · Gainsay ope'!O22-'Gainsay economics · Gainsay ope'!O23-'Gainsay economics · Gainsay ope'!O24-'Gainsay drivers · Gainsay fixed'!B15-'Gainsay economics · Gainsay ope'!O25</f>
        <v>1157.22933976323</v>
      </c>
      <c r="P26" s="12" t="n">
        <f aca="false">'Gainsay economics · Gainsay ope'!P7-'Gainsay economics · Gainsay ope'!P22-'Gainsay economics · Gainsay ope'!P23-'Gainsay economics · Gainsay ope'!P24-'Gainsay drivers · Gainsay fixed'!B15-'Gainsay economics · Gainsay ope'!P25</f>
        <v>1280.11841823778</v>
      </c>
    </row>
    <row r="27" customFormat="false" ht="18" hidden="false" customHeight="false" outlineLevel="0" collapsed="false">
      <c r="A27" s="9" t="s">
        <v>161</v>
      </c>
      <c r="B27" s="12" t="n">
        <f aca="false">IF(IF(IF(ISERROR('Gainsay economics · Gainsay ope'!B15&gt;='Gainsay drivers · Gainsay fixed'!B27),'Gainsay economics · Gainsay ope'!B15&gt;='Gainsay drivers · Gainsay fixed'!B27,IF(OR('Gainsay economics · Gainsay ope'!B15="",'Gainsay drivers · Gainsay fixed'!B27=""),"",'Gainsay economics · Gainsay ope'!B15&gt;='Gainsay drivers · Gainsay fixed'!B27))="",FALSE(),IF(ISERROR('Gainsay economics · Gainsay ope'!B15&gt;='Gainsay drivers · Gainsay fixed'!B27),'Gainsay economics · Gainsay ope'!B15&gt;='Gainsay drivers · Gainsay fixed'!B27,IF(OR('Gainsay economics · Gainsay ope'!B15="",'Gainsay drivers · Gainsay fixed'!B27=""),"",'Gainsay economics · Gainsay ope'!B15&gt;='Gainsay drivers · Gainsay fixed'!B27))),IF('Gainsay drivers · Gainsay fixed'!B28="","",'Gainsay drivers · Gainsay fixed'!B28),0)</f>
        <v>0</v>
      </c>
      <c r="C27" s="12" t="n">
        <f aca="false">IF(IF(IF(ISERROR('Gainsay economics · Gainsay ope'!C15&gt;='Gainsay drivers · Gainsay fixed'!B27),'Gainsay economics · Gainsay ope'!C15&gt;='Gainsay drivers · Gainsay fixed'!B27,IF(OR('Gainsay economics · Gainsay ope'!C15="",'Gainsay drivers · Gainsay fixed'!B27=""),"",'Gainsay economics · Gainsay ope'!C15&gt;='Gainsay drivers · Gainsay fixed'!B27))="",FALSE(),IF(ISERROR('Gainsay economics · Gainsay ope'!C15&gt;='Gainsay drivers · Gainsay fixed'!B27),'Gainsay economics · Gainsay ope'!C15&gt;='Gainsay drivers · Gainsay fixed'!B27,IF(OR('Gainsay economics · Gainsay ope'!C15="",'Gainsay drivers · Gainsay fixed'!B27=""),"",'Gainsay economics · Gainsay ope'!C15&gt;='Gainsay drivers · Gainsay fixed'!B27))),IF('Gainsay drivers · Gainsay fixed'!B28="","",'Gainsay drivers · Gainsay fixed'!B28),0)</f>
        <v>0</v>
      </c>
      <c r="D27" s="12" t="n">
        <f aca="false">IF(IF(IF(ISERROR('Gainsay economics · Gainsay ope'!D15&gt;='Gainsay drivers · Gainsay fixed'!B27),'Gainsay economics · Gainsay ope'!D15&gt;='Gainsay drivers · Gainsay fixed'!B27,IF(OR('Gainsay economics · Gainsay ope'!D15="",'Gainsay drivers · Gainsay fixed'!B27=""),"",'Gainsay economics · Gainsay ope'!D15&gt;='Gainsay drivers · Gainsay fixed'!B27))="",FALSE(),IF(ISERROR('Gainsay economics · Gainsay ope'!D15&gt;='Gainsay drivers · Gainsay fixed'!B27),'Gainsay economics · Gainsay ope'!D15&gt;='Gainsay drivers · Gainsay fixed'!B27,IF(OR('Gainsay economics · Gainsay ope'!D15="",'Gainsay drivers · Gainsay fixed'!B27=""),"",'Gainsay economics · Gainsay ope'!D15&gt;='Gainsay drivers · Gainsay fixed'!B27))),IF('Gainsay drivers · Gainsay fixed'!B28="","",'Gainsay drivers · Gainsay fixed'!B28),0)</f>
        <v>0</v>
      </c>
      <c r="E27" s="12" t="n">
        <f aca="false">IF(IF(IF(ISERROR('Gainsay economics · Gainsay ope'!E15&gt;='Gainsay drivers · Gainsay fixed'!B27),'Gainsay economics · Gainsay ope'!E15&gt;='Gainsay drivers · Gainsay fixed'!B27,IF(OR('Gainsay economics · Gainsay ope'!E15="",'Gainsay drivers · Gainsay fixed'!B27=""),"",'Gainsay economics · Gainsay ope'!E15&gt;='Gainsay drivers · Gainsay fixed'!B27))="",FALSE(),IF(ISERROR('Gainsay economics · Gainsay ope'!E15&gt;='Gainsay drivers · Gainsay fixed'!B27),'Gainsay economics · Gainsay ope'!E15&gt;='Gainsay drivers · Gainsay fixed'!B27,IF(OR('Gainsay economics · Gainsay ope'!E15="",'Gainsay drivers · Gainsay fixed'!B27=""),"",'Gainsay economics · Gainsay ope'!E15&gt;='Gainsay drivers · Gainsay fixed'!B27))),IF('Gainsay drivers · Gainsay fixed'!B28="","",'Gainsay drivers · Gainsay fixed'!B28),0)</f>
        <v>0</v>
      </c>
      <c r="F27" s="12" t="n">
        <f aca="false">IF(IF(IF(ISERROR('Gainsay economics · Gainsay ope'!F15&gt;='Gainsay drivers · Gainsay fixed'!B27),'Gainsay economics · Gainsay ope'!F15&gt;='Gainsay drivers · Gainsay fixed'!B27,IF(OR('Gainsay economics · Gainsay ope'!F15="",'Gainsay drivers · Gainsay fixed'!B27=""),"",'Gainsay economics · Gainsay ope'!F15&gt;='Gainsay drivers · Gainsay fixed'!B27))="",FALSE(),IF(ISERROR('Gainsay economics · Gainsay ope'!F15&gt;='Gainsay drivers · Gainsay fixed'!B27),'Gainsay economics · Gainsay ope'!F15&gt;='Gainsay drivers · Gainsay fixed'!B27,IF(OR('Gainsay economics · Gainsay ope'!F15="",'Gainsay drivers · Gainsay fixed'!B27=""),"",'Gainsay economics · Gainsay ope'!F15&gt;='Gainsay drivers · Gainsay fixed'!B27))),IF('Gainsay drivers · Gainsay fixed'!B28="","",'Gainsay drivers · Gainsay fixed'!B28),0)</f>
        <v>0</v>
      </c>
      <c r="G27" s="12" t="n">
        <f aca="false">IF(IF(IF(ISERROR('Gainsay economics · Gainsay ope'!G15&gt;='Gainsay drivers · Gainsay fixed'!B27),'Gainsay economics · Gainsay ope'!G15&gt;='Gainsay drivers · Gainsay fixed'!B27,IF(OR('Gainsay economics · Gainsay ope'!G15="",'Gainsay drivers · Gainsay fixed'!B27=""),"",'Gainsay economics · Gainsay ope'!G15&gt;='Gainsay drivers · Gainsay fixed'!B27))="",FALSE(),IF(ISERROR('Gainsay economics · Gainsay ope'!G15&gt;='Gainsay drivers · Gainsay fixed'!B27),'Gainsay economics · Gainsay ope'!G15&gt;='Gainsay drivers · Gainsay fixed'!B27,IF(OR('Gainsay economics · Gainsay ope'!G15="",'Gainsay drivers · Gainsay fixed'!B27=""),"",'Gainsay economics · Gainsay ope'!G15&gt;='Gainsay drivers · Gainsay fixed'!B27))),IF('Gainsay drivers · Gainsay fixed'!B28="","",'Gainsay drivers · Gainsay fixed'!B28),0)</f>
        <v>0</v>
      </c>
      <c r="H27" s="12" t="n">
        <f aca="false">IF(IF(IF(ISERROR('Gainsay economics · Gainsay ope'!H15&gt;='Gainsay drivers · Gainsay fixed'!B27),'Gainsay economics · Gainsay ope'!H15&gt;='Gainsay drivers · Gainsay fixed'!B27,IF(OR('Gainsay economics · Gainsay ope'!H15="",'Gainsay drivers · Gainsay fixed'!B27=""),"",'Gainsay economics · Gainsay ope'!H15&gt;='Gainsay drivers · Gainsay fixed'!B27))="",FALSE(),IF(ISERROR('Gainsay economics · Gainsay ope'!H15&gt;='Gainsay drivers · Gainsay fixed'!B27),'Gainsay economics · Gainsay ope'!H15&gt;='Gainsay drivers · Gainsay fixed'!B27,IF(OR('Gainsay economics · Gainsay ope'!H15="",'Gainsay drivers · Gainsay fixed'!B27=""),"",'Gainsay economics · Gainsay ope'!H15&gt;='Gainsay drivers · Gainsay fixed'!B27))),IF('Gainsay drivers · Gainsay fixed'!B28="","",'Gainsay drivers · Gainsay fixed'!B28),0)</f>
        <v>0</v>
      </c>
      <c r="I27" s="12" t="n">
        <f aca="false">IF(IF(IF(ISERROR('Gainsay economics · Gainsay ope'!I15&gt;='Gainsay drivers · Gainsay fixed'!B27),'Gainsay economics · Gainsay ope'!I15&gt;='Gainsay drivers · Gainsay fixed'!B27,IF(OR('Gainsay economics · Gainsay ope'!I15="",'Gainsay drivers · Gainsay fixed'!B27=""),"",'Gainsay economics · Gainsay ope'!I15&gt;='Gainsay drivers · Gainsay fixed'!B27))="",FALSE(),IF(ISERROR('Gainsay economics · Gainsay ope'!I15&gt;='Gainsay drivers · Gainsay fixed'!B27),'Gainsay economics · Gainsay ope'!I15&gt;='Gainsay drivers · Gainsay fixed'!B27,IF(OR('Gainsay economics · Gainsay ope'!I15="",'Gainsay drivers · Gainsay fixed'!B27=""),"",'Gainsay economics · Gainsay ope'!I15&gt;='Gainsay drivers · Gainsay fixed'!B27))),IF('Gainsay drivers · Gainsay fixed'!B28="","",'Gainsay drivers · Gainsay fixed'!B28),0)</f>
        <v>0</v>
      </c>
      <c r="J27" s="12" t="n">
        <f aca="false">IF(IF(IF(ISERROR('Gainsay economics · Gainsay ope'!J15&gt;='Gainsay drivers · Gainsay fixed'!B27),'Gainsay economics · Gainsay ope'!J15&gt;='Gainsay drivers · Gainsay fixed'!B27,IF(OR('Gainsay economics · Gainsay ope'!J15="",'Gainsay drivers · Gainsay fixed'!B27=""),"",'Gainsay economics · Gainsay ope'!J15&gt;='Gainsay drivers · Gainsay fixed'!B27))="",FALSE(),IF(ISERROR('Gainsay economics · Gainsay ope'!J15&gt;='Gainsay drivers · Gainsay fixed'!B27),'Gainsay economics · Gainsay ope'!J15&gt;='Gainsay drivers · Gainsay fixed'!B27,IF(OR('Gainsay economics · Gainsay ope'!J15="",'Gainsay drivers · Gainsay fixed'!B27=""),"",'Gainsay economics · Gainsay ope'!J15&gt;='Gainsay drivers · Gainsay fixed'!B27))),IF('Gainsay drivers · Gainsay fixed'!B28="","",'Gainsay drivers · Gainsay fixed'!B28),0)</f>
        <v>0</v>
      </c>
      <c r="K27" s="12" t="n">
        <f aca="false">IF(IF(IF(ISERROR('Gainsay economics · Gainsay ope'!K15&gt;='Gainsay drivers · Gainsay fixed'!B27),'Gainsay economics · Gainsay ope'!K15&gt;='Gainsay drivers · Gainsay fixed'!B27,IF(OR('Gainsay economics · Gainsay ope'!K15="",'Gainsay drivers · Gainsay fixed'!B27=""),"",'Gainsay economics · Gainsay ope'!K15&gt;='Gainsay drivers · Gainsay fixed'!B27))="",FALSE(),IF(ISERROR('Gainsay economics · Gainsay ope'!K15&gt;='Gainsay drivers · Gainsay fixed'!B27),'Gainsay economics · Gainsay ope'!K15&gt;='Gainsay drivers · Gainsay fixed'!B27,IF(OR('Gainsay economics · Gainsay ope'!K15="",'Gainsay drivers · Gainsay fixed'!B27=""),"",'Gainsay economics · Gainsay ope'!K15&gt;='Gainsay drivers · Gainsay fixed'!B27))),IF('Gainsay drivers · Gainsay fixed'!B28="","",'Gainsay drivers · Gainsay fixed'!B28),0)</f>
        <v>0</v>
      </c>
      <c r="L27" s="12" t="n">
        <f aca="false">IF(IF(IF(ISERROR('Gainsay economics · Gainsay ope'!L15&gt;='Gainsay drivers · Gainsay fixed'!B27),'Gainsay economics · Gainsay ope'!L15&gt;='Gainsay drivers · Gainsay fixed'!B27,IF(OR('Gainsay economics · Gainsay ope'!L15="",'Gainsay drivers · Gainsay fixed'!B27=""),"",'Gainsay economics · Gainsay ope'!L15&gt;='Gainsay drivers · Gainsay fixed'!B27))="",FALSE(),IF(ISERROR('Gainsay economics · Gainsay ope'!L15&gt;='Gainsay drivers · Gainsay fixed'!B27),'Gainsay economics · Gainsay ope'!L15&gt;='Gainsay drivers · Gainsay fixed'!B27,IF(OR('Gainsay economics · Gainsay ope'!L15="",'Gainsay drivers · Gainsay fixed'!B27=""),"",'Gainsay economics · Gainsay ope'!L15&gt;='Gainsay drivers · Gainsay fixed'!B27))),IF('Gainsay drivers · Gainsay fixed'!B28="","",'Gainsay drivers · Gainsay fixed'!B28),0)</f>
        <v>0</v>
      </c>
      <c r="M27" s="12" t="n">
        <f aca="false">IF(IF(IF(ISERROR('Gainsay economics · Gainsay ope'!M15&gt;='Gainsay drivers · Gainsay fixed'!B27),'Gainsay economics · Gainsay ope'!M15&gt;='Gainsay drivers · Gainsay fixed'!B27,IF(OR('Gainsay economics · Gainsay ope'!M15="",'Gainsay drivers · Gainsay fixed'!B27=""),"",'Gainsay economics · Gainsay ope'!M15&gt;='Gainsay drivers · Gainsay fixed'!B27))="",FALSE(),IF(ISERROR('Gainsay economics · Gainsay ope'!M15&gt;='Gainsay drivers · Gainsay fixed'!B27),'Gainsay economics · Gainsay ope'!M15&gt;='Gainsay drivers · Gainsay fixed'!B27,IF(OR('Gainsay economics · Gainsay ope'!M15="",'Gainsay drivers · Gainsay fixed'!B27=""),"",'Gainsay economics · Gainsay ope'!M15&gt;='Gainsay drivers · Gainsay fixed'!B27))),IF('Gainsay drivers · Gainsay fixed'!B28="","",'Gainsay drivers · Gainsay fixed'!B28),0)</f>
        <v>0</v>
      </c>
      <c r="N27" s="12" t="n">
        <f aca="false">IF(IF(IF(ISERROR('Gainsay economics · Gainsay ope'!N15&gt;='Gainsay drivers · Gainsay fixed'!B27),'Gainsay economics · Gainsay ope'!N15&gt;='Gainsay drivers · Gainsay fixed'!B27,IF(OR('Gainsay economics · Gainsay ope'!N15="",'Gainsay drivers · Gainsay fixed'!B27=""),"",'Gainsay economics · Gainsay ope'!N15&gt;='Gainsay drivers · Gainsay fixed'!B27))="",FALSE(),IF(ISERROR('Gainsay economics · Gainsay ope'!N15&gt;='Gainsay drivers · Gainsay fixed'!B27),'Gainsay economics · Gainsay ope'!N15&gt;='Gainsay drivers · Gainsay fixed'!B27,IF(OR('Gainsay economics · Gainsay ope'!N15="",'Gainsay drivers · Gainsay fixed'!B27=""),"",'Gainsay economics · Gainsay ope'!N15&gt;='Gainsay drivers · Gainsay fixed'!B27))),IF('Gainsay drivers · Gainsay fixed'!B28="","",'Gainsay drivers · Gainsay fixed'!B28),0)</f>
        <v>0</v>
      </c>
      <c r="O27" s="12" t="n">
        <f aca="false">IF(IF(IF(ISERROR('Gainsay economics · Gainsay ope'!O15&gt;='Gainsay drivers · Gainsay fixed'!B27),'Gainsay economics · Gainsay ope'!O15&gt;='Gainsay drivers · Gainsay fixed'!B27,IF(OR('Gainsay economics · Gainsay ope'!O15="",'Gainsay drivers · Gainsay fixed'!B27=""),"",'Gainsay economics · Gainsay ope'!O15&gt;='Gainsay drivers · Gainsay fixed'!B27))="",FALSE(),IF(ISERROR('Gainsay economics · Gainsay ope'!O15&gt;='Gainsay drivers · Gainsay fixed'!B27),'Gainsay economics · Gainsay ope'!O15&gt;='Gainsay drivers · Gainsay fixed'!B27,IF(OR('Gainsay economics · Gainsay ope'!O15="",'Gainsay drivers · Gainsay fixed'!B27=""),"",'Gainsay economics · Gainsay ope'!O15&gt;='Gainsay drivers · Gainsay fixed'!B27))),IF('Gainsay drivers · Gainsay fixed'!B28="","",'Gainsay drivers · Gainsay fixed'!B28),0)</f>
        <v>0</v>
      </c>
      <c r="P27" s="12" t="n">
        <f aca="false">IF(IF(IF(ISERROR('Gainsay economics · Gainsay ope'!P15&gt;='Gainsay drivers · Gainsay fixed'!B27),'Gainsay economics · Gainsay ope'!P15&gt;='Gainsay drivers · Gainsay fixed'!B27,IF(OR('Gainsay economics · Gainsay ope'!P15="",'Gainsay drivers · Gainsay fixed'!B27=""),"",'Gainsay economics · Gainsay ope'!P15&gt;='Gainsay drivers · Gainsay fixed'!B27))="",FALSE(),IF(ISERROR('Gainsay economics · Gainsay ope'!P15&gt;='Gainsay drivers · Gainsay fixed'!B27),'Gainsay economics · Gainsay ope'!P15&gt;='Gainsay drivers · Gainsay fixed'!B27,IF(OR('Gainsay economics · Gainsay ope'!P15="",'Gainsay drivers · Gainsay fixed'!B27=""),"",'Gainsay economics · Gainsay ope'!P15&gt;='Gainsay drivers · Gainsay fixed'!B27))),IF('Gainsay drivers · Gainsay fixed'!B28="","",'Gainsay drivers · Gainsay fixed'!B28),0)</f>
        <v>400</v>
      </c>
    </row>
    <row r="28" customFormat="false" ht="18" hidden="false" customHeight="false" outlineLevel="0" collapsed="false">
      <c r="A28" s="9" t="s">
        <v>162</v>
      </c>
      <c r="B28" s="12" t="n">
        <f aca="false">'Gainsay drivers · Gainsay fixed'!B16+'Gainsay drivers · Gainsay fixed'!B17+'Gainsay drivers · Gainsay fixed'!B18+'Gainsay economics · Gainsay ope'!B27+'Gainsay economics · Gainsay ope'!B49+IF(IF(DATE(2026,10,1)=DATE(2026,10,1),IF('Gainsay drivers · Gainsay fixed'!B22="","",'Gainsay drivers · Gainsay fixed'!B22),0)="",0,IF(DATE(2026,10,1)=DATE(2026,10,1),IF('Gainsay drivers · Gainsay fixed'!B22="","",'Gainsay drivers · Gainsay fixed'!B22),0))</f>
        <v>730</v>
      </c>
      <c r="C28" s="12" t="n">
        <f aca="false">'Gainsay drivers · Gainsay fixed'!B16+'Gainsay drivers · Gainsay fixed'!B17+'Gainsay drivers · Gainsay fixed'!B18+'Gainsay economics · Gainsay ope'!C27+'Gainsay economics · Gainsay ope'!C49+IF(IF(DATE(2026,11,1)=DATE(2026,10,1),IF('Gainsay drivers · Gainsay fixed'!B22="","",'Gainsay drivers · Gainsay fixed'!B22),0)="",0,IF(DATE(2026,11,1)=DATE(2026,10,1),IF('Gainsay drivers · Gainsay fixed'!B22="","",'Gainsay drivers · Gainsay fixed'!B22),0))</f>
        <v>230</v>
      </c>
      <c r="D28" s="12" t="n">
        <f aca="false">'Gainsay drivers · Gainsay fixed'!B16+'Gainsay drivers · Gainsay fixed'!B17+'Gainsay drivers · Gainsay fixed'!B18+'Gainsay economics · Gainsay ope'!D27+'Gainsay economics · Gainsay ope'!D49+IF(IF(DATE(2026,12,1)=DATE(2026,10,1),IF('Gainsay drivers · Gainsay fixed'!B22="","",'Gainsay drivers · Gainsay fixed'!B22),0)="",0,IF(DATE(2026,12,1)=DATE(2026,10,1),IF('Gainsay drivers · Gainsay fixed'!B22="","",'Gainsay drivers · Gainsay fixed'!B22),0))</f>
        <v>230</v>
      </c>
      <c r="E28" s="12" t="n">
        <f aca="false">'Gainsay drivers · Gainsay fixed'!B16+'Gainsay drivers · Gainsay fixed'!B17+'Gainsay drivers · Gainsay fixed'!B18+'Gainsay economics · Gainsay ope'!E27+'Gainsay economics · Gainsay ope'!E49+IF(IF(DATE(2027,1,1)=DATE(2026,10,1),IF('Gainsay drivers · Gainsay fixed'!B22="","",'Gainsay drivers · Gainsay fixed'!B22),0)="",0,IF(DATE(2027,1,1)=DATE(2026,10,1),IF('Gainsay drivers · Gainsay fixed'!B22="","",'Gainsay drivers · Gainsay fixed'!B22),0))</f>
        <v>230</v>
      </c>
      <c r="F28" s="12" t="n">
        <f aca="false">'Gainsay drivers · Gainsay fixed'!B16+'Gainsay drivers · Gainsay fixed'!B17+'Gainsay drivers · Gainsay fixed'!B18+'Gainsay economics · Gainsay ope'!F27+'Gainsay economics · Gainsay ope'!F49+IF(IF(DATE(2027,2,1)=DATE(2026,10,1),IF('Gainsay drivers · Gainsay fixed'!B22="","",'Gainsay drivers · Gainsay fixed'!B22),0)="",0,IF(DATE(2027,2,1)=DATE(2026,10,1),IF('Gainsay drivers · Gainsay fixed'!B22="","",'Gainsay drivers · Gainsay fixed'!B22),0))</f>
        <v>230</v>
      </c>
      <c r="G28" s="12" t="n">
        <f aca="false">'Gainsay drivers · Gainsay fixed'!B16+'Gainsay drivers · Gainsay fixed'!B17+'Gainsay drivers · Gainsay fixed'!B18+'Gainsay economics · Gainsay ope'!G27+'Gainsay economics · Gainsay ope'!G49+IF(IF(DATE(2027,3,1)=DATE(2026,10,1),IF('Gainsay drivers · Gainsay fixed'!B22="","",'Gainsay drivers · Gainsay fixed'!B22),0)="",0,IF(DATE(2027,3,1)=DATE(2026,10,1),IF('Gainsay drivers · Gainsay fixed'!B22="","",'Gainsay drivers · Gainsay fixed'!B22),0))</f>
        <v>230</v>
      </c>
      <c r="H28" s="12" t="n">
        <f aca="false">'Gainsay drivers · Gainsay fixed'!B16+'Gainsay drivers · Gainsay fixed'!B17+'Gainsay drivers · Gainsay fixed'!B18+'Gainsay economics · Gainsay ope'!H27+'Gainsay economics · Gainsay ope'!H49+IF(IF(DATE(2027,4,1)=DATE(2026,10,1),IF('Gainsay drivers · Gainsay fixed'!B22="","",'Gainsay drivers · Gainsay fixed'!B22),0)="",0,IF(DATE(2027,4,1)=DATE(2026,10,1),IF('Gainsay drivers · Gainsay fixed'!B22="","",'Gainsay drivers · Gainsay fixed'!B22),0))</f>
        <v>230</v>
      </c>
      <c r="I28" s="12" t="n">
        <f aca="false">'Gainsay drivers · Gainsay fixed'!B16+'Gainsay drivers · Gainsay fixed'!B17+'Gainsay drivers · Gainsay fixed'!B18+'Gainsay economics · Gainsay ope'!I27+'Gainsay economics · Gainsay ope'!I49+IF(IF(DATE(2027,5,1)=DATE(2026,10,1),IF('Gainsay drivers · Gainsay fixed'!B22="","",'Gainsay drivers · Gainsay fixed'!B22),0)="",0,IF(DATE(2027,5,1)=DATE(2026,10,1),IF('Gainsay drivers · Gainsay fixed'!B22="","",'Gainsay drivers · Gainsay fixed'!B22),0))</f>
        <v>230</v>
      </c>
      <c r="J28" s="12" t="n">
        <f aca="false">'Gainsay drivers · Gainsay fixed'!B16+'Gainsay drivers · Gainsay fixed'!B17+'Gainsay drivers · Gainsay fixed'!B18+'Gainsay economics · Gainsay ope'!J27+'Gainsay economics · Gainsay ope'!J49+IF(IF(DATE(2027,6,1)=DATE(2026,10,1),IF('Gainsay drivers · Gainsay fixed'!B22="","",'Gainsay drivers · Gainsay fixed'!B22),0)="",0,IF(DATE(2027,6,1)=DATE(2026,10,1),IF('Gainsay drivers · Gainsay fixed'!B22="","",'Gainsay drivers · Gainsay fixed'!B22),0))</f>
        <v>230</v>
      </c>
      <c r="K28" s="12" t="n">
        <f aca="false">'Gainsay drivers · Gainsay fixed'!B16+'Gainsay drivers · Gainsay fixed'!B17+'Gainsay drivers · Gainsay fixed'!B18+'Gainsay economics · Gainsay ope'!K27+'Gainsay economics · Gainsay ope'!K49+IF(IF(DATE(2027,7,1)=DATE(2026,10,1),IF('Gainsay drivers · Gainsay fixed'!B22="","",'Gainsay drivers · Gainsay fixed'!B22),0)="",0,IF(DATE(2027,7,1)=DATE(2026,10,1),IF('Gainsay drivers · Gainsay fixed'!B22="","",'Gainsay drivers · Gainsay fixed'!B22),0))</f>
        <v>230</v>
      </c>
      <c r="L28" s="12" t="n">
        <f aca="false">'Gainsay drivers · Gainsay fixed'!B16+'Gainsay drivers · Gainsay fixed'!B17+'Gainsay drivers · Gainsay fixed'!B18+'Gainsay economics · Gainsay ope'!L27+'Gainsay economics · Gainsay ope'!L49+IF(IF(DATE(2027,8,1)=DATE(2026,10,1),IF('Gainsay drivers · Gainsay fixed'!B22="","",'Gainsay drivers · Gainsay fixed'!B22),0)="",0,IF(DATE(2027,8,1)=DATE(2026,10,1),IF('Gainsay drivers · Gainsay fixed'!B22="","",'Gainsay drivers · Gainsay fixed'!B22),0))</f>
        <v>230</v>
      </c>
      <c r="M28" s="12" t="n">
        <f aca="false">'Gainsay drivers · Gainsay fixed'!B16+'Gainsay drivers · Gainsay fixed'!B17+'Gainsay drivers · Gainsay fixed'!B18+'Gainsay economics · Gainsay ope'!M27+'Gainsay economics · Gainsay ope'!M49+IF(IF(DATE(2027,9,1)=DATE(2026,10,1),IF('Gainsay drivers · Gainsay fixed'!B22="","",'Gainsay drivers · Gainsay fixed'!B22),0)="",0,IF(DATE(2027,9,1)=DATE(2026,10,1),IF('Gainsay drivers · Gainsay fixed'!B22="","",'Gainsay drivers · Gainsay fixed'!B22),0))</f>
        <v>230</v>
      </c>
      <c r="N28" s="12" t="n">
        <f aca="false">'Gainsay drivers · Gainsay fixed'!B16+'Gainsay drivers · Gainsay fixed'!B17+'Gainsay drivers · Gainsay fixed'!B18+'Gainsay economics · Gainsay ope'!N27+'Gainsay economics · Gainsay ope'!N49+IF(IF(DATE(2027,10,1)=DATE(2026,10,1),IF('Gainsay drivers · Gainsay fixed'!B22="","",'Gainsay drivers · Gainsay fixed'!B22),0)="",0,IF(DATE(2027,10,1)=DATE(2026,10,1),IF('Gainsay drivers · Gainsay fixed'!B22="","",'Gainsay drivers · Gainsay fixed'!B22),0))</f>
        <v>230</v>
      </c>
      <c r="O28" s="12" t="n">
        <f aca="false">'Gainsay drivers · Gainsay fixed'!B16+'Gainsay drivers · Gainsay fixed'!B17+'Gainsay drivers · Gainsay fixed'!B18+'Gainsay economics · Gainsay ope'!O27+'Gainsay economics · Gainsay ope'!O49+IF(IF(DATE(2027,11,1)=DATE(2026,10,1),IF('Gainsay drivers · Gainsay fixed'!B22="","",'Gainsay drivers · Gainsay fixed'!B22),0)="",0,IF(DATE(2027,11,1)=DATE(2026,10,1),IF('Gainsay drivers · Gainsay fixed'!B22="","",'Gainsay drivers · Gainsay fixed'!B22),0))</f>
        <v>230</v>
      </c>
      <c r="P28" s="12" t="n">
        <f aca="false">'Gainsay drivers · Gainsay fixed'!B16+'Gainsay drivers · Gainsay fixed'!B17+'Gainsay drivers · Gainsay fixed'!B18+'Gainsay economics · Gainsay ope'!P27+'Gainsay economics · Gainsay ope'!P49+IF(IF(DATE(2027,12,1)=DATE(2026,10,1),IF('Gainsay drivers · Gainsay fixed'!B22="","",'Gainsay drivers · Gainsay fixed'!B22),0)="",0,IF(DATE(2027,12,1)=DATE(2026,10,1),IF('Gainsay drivers · Gainsay fixed'!B22="","",'Gainsay drivers · Gainsay fixed'!B22),0))</f>
        <v>630</v>
      </c>
    </row>
    <row r="29" customFormat="false" ht="18" hidden="false" customHeight="false" outlineLevel="0" collapsed="false">
      <c r="A29" s="9" t="s">
        <v>163</v>
      </c>
      <c r="B29" s="12" t="n">
        <f aca="false">'Gainsay economics · Gainsay ope'!B26-'Gainsay economics · Gainsay ope'!B28</f>
        <v>-857.193</v>
      </c>
      <c r="C29" s="12" t="n">
        <f aca="false">'Gainsay economics · Gainsay ope'!C26-'Gainsay economics · Gainsay ope'!C28</f>
        <v>-273.74916</v>
      </c>
      <c r="D29" s="12" t="n">
        <f aca="false">'Gainsay economics · Gainsay ope'!D26-'Gainsay economics · Gainsay ope'!D28</f>
        <v>-188.4063327</v>
      </c>
      <c r="E29" s="12" t="n">
        <f aca="false">'Gainsay economics · Gainsay ope'!E26-'Gainsay economics · Gainsay ope'!E28</f>
        <v>-101.001372594</v>
      </c>
      <c r="F29" s="12" t="n">
        <f aca="false">'Gainsay economics · Gainsay ope'!F26-'Gainsay economics · Gainsay ope'!F28</f>
        <v>-11.36502278493</v>
      </c>
      <c r="G29" s="12" t="n">
        <f aca="false">'Gainsay economics · Gainsay ope'!G26-'Gainsay economics · Gainsay ope'!G28</f>
        <v>80.6784519614305</v>
      </c>
      <c r="H29" s="12" t="n">
        <f aca="false">'Gainsay economics · Gainsay ope'!H26-'Gainsay economics · Gainsay ope'!H28</f>
        <v>175.311648668541</v>
      </c>
      <c r="I29" s="12" t="n">
        <f aca="false">'Gainsay economics · Gainsay ope'!I26-'Gainsay economics · Gainsay ope'!I28</f>
        <v>272.724426987735</v>
      </c>
      <c r="J29" s="12" t="n">
        <f aca="false">'Gainsay economics · Gainsay ope'!J26-'Gainsay economics · Gainsay ope'!J28</f>
        <v>373.114328346317</v>
      </c>
      <c r="K29" s="12" t="n">
        <f aca="false">'Gainsay economics · Gainsay ope'!K26-'Gainsay economics · Gainsay ope'!K28</f>
        <v>476.687014372551</v>
      </c>
      <c r="L29" s="12" t="n">
        <f aca="false">'Gainsay economics · Gainsay ope'!L26-'Gainsay economics · Gainsay ope'!L28</f>
        <v>583.65672561183</v>
      </c>
      <c r="M29" s="12" t="n">
        <f aca="false">'Gainsay economics · Gainsay ope'!M26-'Gainsay economics · Gainsay ope'!M28</f>
        <v>694.246761597453</v>
      </c>
      <c r="N29" s="12" t="n">
        <f aca="false">'Gainsay economics · Gainsay ope'!N26-'Gainsay economics · Gainsay ope'!N28</f>
        <v>808.689983391207</v>
      </c>
      <c r="O29" s="12" t="n">
        <f aca="false">'Gainsay economics · Gainsay ope'!O26-'Gainsay economics · Gainsay ope'!O28</f>
        <v>927.229339763231</v>
      </c>
      <c r="P29" s="12" t="n">
        <f aca="false">'Gainsay economics · Gainsay ope'!P26-'Gainsay economics · Gainsay ope'!P28</f>
        <v>650.118418237783</v>
      </c>
    </row>
    <row r="30" customFormat="false" ht="18" hidden="false" customHeight="false" outlineLevel="0" collapsed="false">
      <c r="A30" s="9" t="s">
        <v>164</v>
      </c>
      <c r="B30" s="12" t="n">
        <f aca="false">IF(MONTH(DATE(2026,10,1))=10,IF('Gainsay drivers · Gainsay fixed'!B20="","",'Gainsay drivers · Gainsay fixed'!B20),0)</f>
        <v>3000</v>
      </c>
      <c r="C30" s="12" t="n">
        <f aca="false">IF(MONTH(DATE(2026,11,1))=10,IF('Gainsay drivers · Gainsay fixed'!B20="","",'Gainsay drivers · Gainsay fixed'!B20),0)</f>
        <v>0</v>
      </c>
      <c r="D30" s="12" t="n">
        <f aca="false">IF(MONTH(DATE(2026,12,1))=10,IF('Gainsay drivers · Gainsay fixed'!B20="","",'Gainsay drivers · Gainsay fixed'!B20),0)</f>
        <v>0</v>
      </c>
      <c r="E30" s="12" t="n">
        <f aca="false">IF(MONTH(DATE(2027,1,1))=10,IF('Gainsay drivers · Gainsay fixed'!B20="","",'Gainsay drivers · Gainsay fixed'!B20),0)</f>
        <v>0</v>
      </c>
      <c r="F30" s="12" t="n">
        <f aca="false">IF(MONTH(DATE(2027,2,1))=10,IF('Gainsay drivers · Gainsay fixed'!B20="","",'Gainsay drivers · Gainsay fixed'!B20),0)</f>
        <v>0</v>
      </c>
      <c r="G30" s="12" t="n">
        <f aca="false">IF(MONTH(DATE(2027,3,1))=10,IF('Gainsay drivers · Gainsay fixed'!B20="","",'Gainsay drivers · Gainsay fixed'!B20),0)</f>
        <v>0</v>
      </c>
      <c r="H30" s="12" t="n">
        <f aca="false">IF(MONTH(DATE(2027,4,1))=10,IF('Gainsay drivers · Gainsay fixed'!B20="","",'Gainsay drivers · Gainsay fixed'!B20),0)</f>
        <v>0</v>
      </c>
      <c r="I30" s="12" t="n">
        <f aca="false">IF(MONTH(DATE(2027,5,1))=10,IF('Gainsay drivers · Gainsay fixed'!B20="","",'Gainsay drivers · Gainsay fixed'!B20),0)</f>
        <v>0</v>
      </c>
      <c r="J30" s="12" t="n">
        <f aca="false">IF(MONTH(DATE(2027,6,1))=10,IF('Gainsay drivers · Gainsay fixed'!B20="","",'Gainsay drivers · Gainsay fixed'!B20),0)</f>
        <v>0</v>
      </c>
      <c r="K30" s="12" t="n">
        <f aca="false">IF(MONTH(DATE(2027,7,1))=10,IF('Gainsay drivers · Gainsay fixed'!B20="","",'Gainsay drivers · Gainsay fixed'!B20),0)</f>
        <v>0</v>
      </c>
      <c r="L30" s="12" t="n">
        <f aca="false">IF(MONTH(DATE(2027,8,1))=10,IF('Gainsay drivers · Gainsay fixed'!B20="","",'Gainsay drivers · Gainsay fixed'!B20),0)</f>
        <v>0</v>
      </c>
      <c r="M30" s="12" t="n">
        <f aca="false">IF(MONTH(DATE(2027,9,1))=10,IF('Gainsay drivers · Gainsay fixed'!B20="","",'Gainsay drivers · Gainsay fixed'!B20),0)</f>
        <v>0</v>
      </c>
      <c r="N30" s="12" t="n">
        <f aca="false">IF(MONTH(DATE(2027,10,1))=10,IF('Gainsay drivers · Gainsay fixed'!B20="","",'Gainsay drivers · Gainsay fixed'!B20),0)</f>
        <v>3000</v>
      </c>
      <c r="O30" s="12" t="n">
        <f aca="false">IF(MONTH(DATE(2027,11,1))=10,IF('Gainsay drivers · Gainsay fixed'!B20="","",'Gainsay drivers · Gainsay fixed'!B20),0)</f>
        <v>0</v>
      </c>
      <c r="P30" s="12" t="n">
        <f aca="false">IF(MONTH(DATE(2027,12,1))=10,IF('Gainsay drivers · Gainsay fixed'!B20="","",'Gainsay drivers · Gainsay fixed'!B20),0)</f>
        <v>0</v>
      </c>
    </row>
    <row r="31" customFormat="false" ht="18" hidden="false" customHeight="false" outlineLevel="0" collapsed="false">
      <c r="A31" s="9" t="s">
        <v>165</v>
      </c>
      <c r="B31" s="12" t="n">
        <f aca="false">IF('Gainsay drivers · Gainsay fixed'!B19="","",'Gainsay drivers · Gainsay fixed'!B19)</f>
        <v>500</v>
      </c>
      <c r="C31" s="12" t="n">
        <f aca="false">IF('Gainsay drivers · Gainsay fixed'!B19="","",'Gainsay drivers · Gainsay fixed'!B19)</f>
        <v>500</v>
      </c>
      <c r="D31" s="12" t="n">
        <f aca="false">IF('Gainsay drivers · Gainsay fixed'!B19="","",'Gainsay drivers · Gainsay fixed'!B19)</f>
        <v>500</v>
      </c>
      <c r="E31" s="12" t="n">
        <f aca="false">IF('Gainsay drivers · Gainsay fixed'!B19="","",'Gainsay drivers · Gainsay fixed'!B19)</f>
        <v>500</v>
      </c>
      <c r="F31" s="12" t="n">
        <f aca="false">IF('Gainsay drivers · Gainsay fixed'!B19="","",'Gainsay drivers · Gainsay fixed'!B19)</f>
        <v>500</v>
      </c>
      <c r="G31" s="12" t="n">
        <f aca="false">IF('Gainsay drivers · Gainsay fixed'!B19="","",'Gainsay drivers · Gainsay fixed'!B19)</f>
        <v>500</v>
      </c>
      <c r="H31" s="12" t="n">
        <f aca="false">IF('Gainsay drivers · Gainsay fixed'!B19="","",'Gainsay drivers · Gainsay fixed'!B19)</f>
        <v>500</v>
      </c>
      <c r="I31" s="12" t="n">
        <f aca="false">IF('Gainsay drivers · Gainsay fixed'!B19="","",'Gainsay drivers · Gainsay fixed'!B19)</f>
        <v>500</v>
      </c>
      <c r="J31" s="12" t="n">
        <f aca="false">IF('Gainsay drivers · Gainsay fixed'!B19="","",'Gainsay drivers · Gainsay fixed'!B19)</f>
        <v>500</v>
      </c>
      <c r="K31" s="12" t="n">
        <f aca="false">IF('Gainsay drivers · Gainsay fixed'!B19="","",'Gainsay drivers · Gainsay fixed'!B19)</f>
        <v>500</v>
      </c>
      <c r="L31" s="12" t="n">
        <f aca="false">IF('Gainsay drivers · Gainsay fixed'!B19="","",'Gainsay drivers · Gainsay fixed'!B19)</f>
        <v>500</v>
      </c>
      <c r="M31" s="12" t="n">
        <f aca="false">IF('Gainsay drivers · Gainsay fixed'!B19="","",'Gainsay drivers · Gainsay fixed'!B19)</f>
        <v>500</v>
      </c>
      <c r="N31" s="12" t="n">
        <f aca="false">IF('Gainsay drivers · Gainsay fixed'!B19="","",'Gainsay drivers · Gainsay fixed'!B19)</f>
        <v>500</v>
      </c>
      <c r="O31" s="12" t="n">
        <f aca="false">IF('Gainsay drivers · Gainsay fixed'!B19="","",'Gainsay drivers · Gainsay fixed'!B19)</f>
        <v>500</v>
      </c>
      <c r="P31" s="12" t="n">
        <f aca="false">IF('Gainsay drivers · Gainsay fixed'!B19="","",'Gainsay drivers · Gainsay fixed'!B19)</f>
        <v>500</v>
      </c>
    </row>
    <row r="32" customFormat="false" ht="18" hidden="false" customHeight="false" outlineLevel="0" collapsed="false">
      <c r="A32" s="9" t="s">
        <v>166</v>
      </c>
      <c r="B32" s="12" t="n">
        <f aca="false">'Gainsay economics · Gainsay ope'!B29+'Gainsay economics · Gainsay ope'!B25-'Gainsay economics · Gainsay ope'!B30-'Gainsay economics · Gainsay ope'!B31</f>
        <v>-4107.193</v>
      </c>
      <c r="C32" s="12" t="n">
        <f aca="false">'Gainsay economics · Gainsay ope'!C29+'Gainsay economics · Gainsay ope'!C25-'Gainsay economics · Gainsay ope'!C30-'Gainsay economics · Gainsay ope'!C31</f>
        <v>-523.74916</v>
      </c>
      <c r="D32" s="12" t="n">
        <f aca="false">'Gainsay economics · Gainsay ope'!D29+'Gainsay economics · Gainsay ope'!D25-'Gainsay economics · Gainsay ope'!D30-'Gainsay economics · Gainsay ope'!D31</f>
        <v>-438.4063327</v>
      </c>
      <c r="E32" s="12" t="n">
        <f aca="false">'Gainsay economics · Gainsay ope'!E29+'Gainsay economics · Gainsay ope'!E25-'Gainsay economics · Gainsay ope'!E30-'Gainsay economics · Gainsay ope'!E31</f>
        <v>-351.001372594</v>
      </c>
      <c r="F32" s="12" t="n">
        <f aca="false">'Gainsay economics · Gainsay ope'!F29+'Gainsay economics · Gainsay ope'!F25-'Gainsay economics · Gainsay ope'!F30-'Gainsay economics · Gainsay ope'!F31</f>
        <v>-261.36502278493</v>
      </c>
      <c r="G32" s="12" t="n">
        <f aca="false">'Gainsay economics · Gainsay ope'!G29+'Gainsay economics · Gainsay ope'!G25-'Gainsay economics · Gainsay ope'!G30-'Gainsay economics · Gainsay ope'!G31</f>
        <v>-169.32154803857</v>
      </c>
      <c r="H32" s="12" t="n">
        <f aca="false">'Gainsay economics · Gainsay ope'!H29+'Gainsay economics · Gainsay ope'!H25-'Gainsay economics · Gainsay ope'!H30-'Gainsay economics · Gainsay ope'!H31</f>
        <v>-74.6883513314593</v>
      </c>
      <c r="I32" s="12" t="n">
        <f aca="false">'Gainsay economics · Gainsay ope'!I29+'Gainsay economics · Gainsay ope'!I25-'Gainsay economics · Gainsay ope'!I30-'Gainsay economics · Gainsay ope'!I31</f>
        <v>22.7244269877352</v>
      </c>
      <c r="J32" s="12" t="n">
        <f aca="false">'Gainsay economics · Gainsay ope'!J29+'Gainsay economics · Gainsay ope'!J25-'Gainsay economics · Gainsay ope'!J30-'Gainsay economics · Gainsay ope'!J31</f>
        <v>123.114328346317</v>
      </c>
      <c r="K32" s="12" t="n">
        <f aca="false">'Gainsay economics · Gainsay ope'!K29+'Gainsay economics · Gainsay ope'!K25-'Gainsay economics · Gainsay ope'!K30-'Gainsay economics · Gainsay ope'!K31</f>
        <v>226.687014372551</v>
      </c>
      <c r="L32" s="12" t="n">
        <f aca="false">'Gainsay economics · Gainsay ope'!L29+'Gainsay economics · Gainsay ope'!L25-'Gainsay economics · Gainsay ope'!L30-'Gainsay economics · Gainsay ope'!L31</f>
        <v>333.65672561183</v>
      </c>
      <c r="M32" s="12" t="n">
        <f aca="false">'Gainsay economics · Gainsay ope'!M29+'Gainsay economics · Gainsay ope'!M25-'Gainsay economics · Gainsay ope'!M30-'Gainsay economics · Gainsay ope'!M31</f>
        <v>444.246761597453</v>
      </c>
      <c r="N32" s="12" t="n">
        <f aca="false">'Gainsay economics · Gainsay ope'!N29+'Gainsay economics · Gainsay ope'!N25-'Gainsay economics · Gainsay ope'!N30-'Gainsay economics · Gainsay ope'!N31</f>
        <v>-2441.31001660879</v>
      </c>
      <c r="O32" s="12" t="n">
        <f aca="false">'Gainsay economics · Gainsay ope'!O29+'Gainsay economics · Gainsay ope'!O25-'Gainsay economics · Gainsay ope'!O30-'Gainsay economics · Gainsay ope'!O31</f>
        <v>677.229339763231</v>
      </c>
      <c r="P32" s="12" t="n">
        <f aca="false">'Gainsay economics · Gainsay ope'!P29+'Gainsay economics · Gainsay ope'!P25-'Gainsay economics · Gainsay ope'!P30-'Gainsay economics · Gainsay ope'!P31</f>
        <v>400.118418237783</v>
      </c>
    </row>
    <row r="33" customFormat="false" ht="18" hidden="false" customHeight="false" outlineLevel="0" collapsed="false">
      <c r="A33" s="9" t="s">
        <v>167</v>
      </c>
      <c r="B33" s="12" t="n">
        <f aca="false">'Model inputs'!J37+'Gainsay economics · Gainsay ope'!B32</f>
        <v>892.807</v>
      </c>
      <c r="C33" s="12" t="n">
        <f aca="false">'Gainsay economics · Gainsay ope'!B33+'Gainsay economics · Gainsay ope'!C32</f>
        <v>369.05784</v>
      </c>
      <c r="D33" s="12" t="n">
        <f aca="false">'Gainsay economics · Gainsay ope'!C33+'Gainsay economics · Gainsay ope'!D32</f>
        <v>-69.3484927000001</v>
      </c>
      <c r="E33" s="12" t="n">
        <f aca="false">'Gainsay economics · Gainsay ope'!D33+'Gainsay economics · Gainsay ope'!E32</f>
        <v>-420.349865294</v>
      </c>
      <c r="F33" s="12" t="n">
        <f aca="false">'Gainsay economics · Gainsay ope'!E33+'Gainsay economics · Gainsay ope'!F32</f>
        <v>-681.71488807893</v>
      </c>
      <c r="G33" s="12" t="n">
        <f aca="false">'Gainsay economics · Gainsay ope'!F33+'Gainsay economics · Gainsay ope'!G32</f>
        <v>-851.0364361175</v>
      </c>
      <c r="H33" s="12" t="n">
        <f aca="false">'Gainsay economics · Gainsay ope'!G33+'Gainsay economics · Gainsay ope'!H32</f>
        <v>-925.724787448959</v>
      </c>
      <c r="I33" s="12" t="n">
        <f aca="false">'Gainsay economics · Gainsay ope'!H33+'Gainsay economics · Gainsay ope'!I32</f>
        <v>-903.000360461224</v>
      </c>
      <c r="J33" s="12" t="n">
        <f aca="false">'Gainsay economics · Gainsay ope'!I33+'Gainsay economics · Gainsay ope'!J32</f>
        <v>-779.886032114907</v>
      </c>
      <c r="K33" s="12" t="n">
        <f aca="false">'Gainsay economics · Gainsay ope'!J33+'Gainsay economics · Gainsay ope'!K32</f>
        <v>-553.199017742356</v>
      </c>
      <c r="L33" s="12" t="n">
        <f aca="false">'Gainsay economics · Gainsay ope'!K33+'Gainsay economics · Gainsay ope'!L32</f>
        <v>-219.542292130526</v>
      </c>
      <c r="M33" s="12" t="n">
        <f aca="false">'Gainsay economics · Gainsay ope'!L33+'Gainsay economics · Gainsay ope'!M32</f>
        <v>224.704469466927</v>
      </c>
      <c r="N33" s="12" t="n">
        <f aca="false">'Gainsay economics · Gainsay ope'!M33+'Gainsay economics · Gainsay ope'!N32</f>
        <v>-2216.60554714187</v>
      </c>
      <c r="O33" s="12" t="n">
        <f aca="false">'Gainsay economics · Gainsay ope'!N33+'Gainsay economics · Gainsay ope'!O32</f>
        <v>-1539.37620737863</v>
      </c>
      <c r="P33" s="12" t="n">
        <f aca="false">'Gainsay economics · Gainsay ope'!O33+'Gainsay economics · Gainsay ope'!P32</f>
        <v>-1139.25778914085</v>
      </c>
    </row>
    <row r="34" customFormat="false" ht="18" hidden="false" customHeight="false" outlineLevel="0" collapsed="false">
      <c r="A34" s="9" t="s">
        <v>168</v>
      </c>
      <c r="B34" s="10" t="n">
        <f aca="false">('Gainsay economics · Gainsay ope'!B20+'Gainsay economics · Gainsay ope'!B21)*'Gainsay drivers · Gainsay fixed'!B12+'Gainsay economics · Gainsay ope'!B15*'Gainsay drivers · Gainsay fixed'!B14*DAY(EOMONTH(DATE(2026,10,1),0))</f>
        <v>2413</v>
      </c>
      <c r="C34" s="10" t="n">
        <f aca="false">('Gainsay economics · Gainsay ope'!C20+'Gainsay economics · Gainsay ope'!C21)*'Gainsay drivers · Gainsay fixed'!B12+'Gainsay economics · Gainsay ope'!C15*'Gainsay drivers · Gainsay fixed'!B14*DAY(EOMONTH(DATE(2026,11,1),0))</f>
        <v>2965.2</v>
      </c>
      <c r="D34" s="10" t="n">
        <f aca="false">('Gainsay economics · Gainsay ope'!D20+'Gainsay economics · Gainsay ope'!D21)*'Gainsay drivers · Gainsay fixed'!B12+'Gainsay economics · Gainsay ope'!D15*'Gainsay drivers · Gainsay fixed'!B14*DAY(EOMONTH(DATE(2026,12,1),0))</f>
        <v>3542.5047</v>
      </c>
      <c r="E34" s="10" t="n">
        <f aca="false">('Gainsay economics · Gainsay ope'!E20+'Gainsay economics · Gainsay ope'!E21)*'Gainsay drivers · Gainsay fixed'!B12+'Gainsay economics · Gainsay ope'!E15*'Gainsay drivers · Gainsay fixed'!B14*DAY(EOMONTH(DATE(2027,1,1),0))</f>
        <v>4127.831184</v>
      </c>
      <c r="F34" s="10" t="n">
        <f aca="false">('Gainsay economics · Gainsay ope'!F20+'Gainsay economics · Gainsay ope'!F21)*'Gainsay drivers · Gainsay fixed'!B12+'Gainsay economics · Gainsay ope'!F15*'Gainsay drivers · Gainsay fixed'!B14*DAY(EOMONTH(DATE(2027,2,1),0))</f>
        <v>4681.40385684</v>
      </c>
      <c r="G34" s="10" t="n">
        <f aca="false">('Gainsay economics · Gainsay ope'!G20+'Gainsay economics · Gainsay ope'!G21)*'Gainsay drivers · Gainsay fixed'!B12+'Gainsay economics · Gainsay ope'!G15*'Gainsay drivers · Gainsay fixed'!B14*DAY(EOMONTH(DATE(2027,3,1),0))</f>
        <v>5345.3274076506</v>
      </c>
      <c r="H34" s="10" t="n">
        <f aca="false">('Gainsay economics · Gainsay ope'!H20+'Gainsay economics · Gainsay ope'!H21)*'Gainsay drivers · Gainsay fixed'!B12+'Gainsay economics · Gainsay ope'!H15*'Gainsay drivers · Gainsay fixed'!B14*DAY(EOMONTH(DATE(2027,4,1),0))</f>
        <v>5957.44150739139</v>
      </c>
      <c r="I34" s="10" t="n">
        <f aca="false">('Gainsay economics · Gainsay ope'!I20+'Gainsay economics · Gainsay ope'!I21)*'Gainsay drivers · Gainsay fixed'!B12+'Gainsay economics · Gainsay ope'!I15*'Gainsay drivers · Gainsay fixed'!B14*DAY(EOMONTH(DATE(2027,5,1),0))</f>
        <v>6633.39903676251</v>
      </c>
      <c r="J34" s="10" t="n">
        <f aca="false">('Gainsay economics · Gainsay ope'!J20+'Gainsay economics · Gainsay ope'!J21)*'Gainsay drivers · Gainsay fixed'!B12+'Gainsay economics · Gainsay ope'!J15*'Gainsay drivers · Gainsay fixed'!B14*DAY(EOMONTH(DATE(2027,6,1),0))</f>
        <v>7277.46318859253</v>
      </c>
      <c r="K34" s="10" t="n">
        <f aca="false">('Gainsay economics · Gainsay ope'!K20+'Gainsay economics · Gainsay ope'!K21)*'Gainsay drivers · Gainsay fixed'!B12+'Gainsay economics · Gainsay ope'!K15*'Gainsay drivers · Gainsay fixed'!B14*DAY(EOMONTH(DATE(2027,7,1),0))</f>
        <v>8002.48433168158</v>
      </c>
      <c r="L34" s="10" t="n">
        <f aca="false">('Gainsay economics · Gainsay ope'!L20+'Gainsay economics · Gainsay ope'!L21)*'Gainsay drivers · Gainsay fixed'!B12+'Gainsay economics · Gainsay ope'!L15*'Gainsay drivers · Gainsay fixed'!B14*DAY(EOMONTH(DATE(2027,8,1),0))</f>
        <v>8720.90712536276</v>
      </c>
      <c r="M34" s="10" t="n">
        <f aca="false">('Gainsay economics · Gainsay ope'!M20+'Gainsay economics · Gainsay ope'!M21)*'Gainsay drivers · Gainsay fixed'!B12+'Gainsay economics · Gainsay ope'!M15*'Gainsay drivers · Gainsay fixed'!B14*DAY(EOMONTH(DATE(2027,9,1),0))</f>
        <v>9422.57657772658</v>
      </c>
      <c r="N34" s="10" t="n">
        <f aca="false">('Gainsay economics · Gainsay ope'!N20+'Gainsay economics · Gainsay ope'!N21)*'Gainsay drivers · Gainsay fixed'!B12+'Gainsay economics · Gainsay ope'!N15*'Gainsay drivers · Gainsay fixed'!B14*DAY(EOMONTH(DATE(2027,10,1),0))</f>
        <v>10233.0383376765</v>
      </c>
      <c r="O34" s="10" t="n">
        <f aca="false">('Gainsay economics · Gainsay ope'!O20+'Gainsay economics · Gainsay ope'!O21)*'Gainsay drivers · Gainsay fixed'!B12+'Gainsay economics · Gainsay ope'!O15*'Gainsay drivers · Gainsay fixed'!B14*DAY(EOMONTH(DATE(2027,11,1),0))</f>
        <v>10980.1870772411</v>
      </c>
      <c r="P34" s="10" t="n">
        <f aca="false">('Gainsay economics · Gainsay ope'!P20+'Gainsay economics · Gainsay ope'!P21)*'Gainsay drivers · Gainsay fixed'!B12+'Gainsay economics · Gainsay ope'!P15*'Gainsay drivers · Gainsay fixed'!B14*DAY(EOMONTH(DATE(2027,12,1),0))</f>
        <v>11856.3558197433</v>
      </c>
    </row>
    <row r="35" customFormat="false" ht="18" hidden="false" customHeight="false" outlineLevel="0" collapsed="false">
      <c r="A35" s="9" t="s">
        <v>169</v>
      </c>
      <c r="B35" s="10" t="n">
        <f aca="false">'Gainsay drivers · Gainsay fixed'!B13*DAY(EOMONTH(DATE(2026,10,1),0))</f>
        <v>3875</v>
      </c>
      <c r="C35" s="10" t="n">
        <f aca="false">'Gainsay drivers · Gainsay fixed'!B13*DAY(EOMONTH(DATE(2026,11,1),0))</f>
        <v>3750</v>
      </c>
      <c r="D35" s="10" t="n">
        <f aca="false">'Gainsay drivers · Gainsay fixed'!B13*DAY(EOMONTH(DATE(2026,12,1),0))</f>
        <v>3875</v>
      </c>
      <c r="E35" s="10" t="n">
        <f aca="false">'Gainsay drivers · Gainsay fixed'!B13*DAY(EOMONTH(DATE(2027,1,1),0))</f>
        <v>3875</v>
      </c>
      <c r="F35" s="10" t="n">
        <f aca="false">'Gainsay drivers · Gainsay fixed'!B13*DAY(EOMONTH(DATE(2027,2,1),0))</f>
        <v>3500</v>
      </c>
      <c r="G35" s="10" t="n">
        <f aca="false">'Gainsay drivers · Gainsay fixed'!B13*DAY(EOMONTH(DATE(2027,3,1),0))</f>
        <v>3875</v>
      </c>
      <c r="H35" s="10" t="n">
        <f aca="false">'Gainsay drivers · Gainsay fixed'!B13*DAY(EOMONTH(DATE(2027,4,1),0))</f>
        <v>3750</v>
      </c>
      <c r="I35" s="10" t="n">
        <f aca="false">'Gainsay drivers · Gainsay fixed'!B13*DAY(EOMONTH(DATE(2027,5,1),0))</f>
        <v>3875</v>
      </c>
      <c r="J35" s="10" t="n">
        <f aca="false">'Gainsay drivers · Gainsay fixed'!B13*DAY(EOMONTH(DATE(2027,6,1),0))</f>
        <v>3750</v>
      </c>
      <c r="K35" s="10" t="n">
        <f aca="false">'Gainsay drivers · Gainsay fixed'!B13*DAY(EOMONTH(DATE(2027,7,1),0))</f>
        <v>3875</v>
      </c>
      <c r="L35" s="10" t="n">
        <f aca="false">'Gainsay drivers · Gainsay fixed'!B13*DAY(EOMONTH(DATE(2027,8,1),0))</f>
        <v>3875</v>
      </c>
      <c r="M35" s="10" t="n">
        <f aca="false">'Gainsay drivers · Gainsay fixed'!B13*DAY(EOMONTH(DATE(2027,9,1),0))</f>
        <v>3750</v>
      </c>
      <c r="N35" s="10" t="n">
        <f aca="false">'Gainsay drivers · Gainsay fixed'!B13*DAY(EOMONTH(DATE(2027,10,1),0))</f>
        <v>3875</v>
      </c>
      <c r="O35" s="10" t="n">
        <f aca="false">'Gainsay drivers · Gainsay fixed'!B13*DAY(EOMONTH(DATE(2027,11,1),0))</f>
        <v>3750</v>
      </c>
      <c r="P35" s="10" t="n">
        <f aca="false">'Gainsay drivers · Gainsay fixed'!B13*DAY(EOMONTH(DATE(2027,12,1),0))</f>
        <v>3875</v>
      </c>
    </row>
    <row r="36" customFormat="false" ht="18" hidden="false" customHeight="false" outlineLevel="0" collapsed="false">
      <c r="A36" s="9" t="s">
        <v>170</v>
      </c>
      <c r="B36" s="10" t="n">
        <f aca="false">MAX('Gainsay economics · Gainsay ope'!B34-'Gainsay economics · Gainsay ope'!B35,0)</f>
        <v>0</v>
      </c>
      <c r="C36" s="10" t="n">
        <f aca="false">MAX('Gainsay economics · Gainsay ope'!C34-'Gainsay economics · Gainsay ope'!C35,0)</f>
        <v>0</v>
      </c>
      <c r="D36" s="10" t="n">
        <f aca="false">MAX('Gainsay economics · Gainsay ope'!D34-'Gainsay economics · Gainsay ope'!D35,0)</f>
        <v>0</v>
      </c>
      <c r="E36" s="10" t="n">
        <f aca="false">MAX('Gainsay economics · Gainsay ope'!E34-'Gainsay economics · Gainsay ope'!E35,0)</f>
        <v>252.831184</v>
      </c>
      <c r="F36" s="10" t="n">
        <f aca="false">MAX('Gainsay economics · Gainsay ope'!F34-'Gainsay economics · Gainsay ope'!F35,0)</f>
        <v>1181.40385684</v>
      </c>
      <c r="G36" s="10" t="n">
        <f aca="false">MAX('Gainsay economics · Gainsay ope'!G34-'Gainsay economics · Gainsay ope'!G35,0)</f>
        <v>1470.3274076506</v>
      </c>
      <c r="H36" s="10" t="n">
        <f aca="false">MAX('Gainsay economics · Gainsay ope'!H34-'Gainsay economics · Gainsay ope'!H35,0)</f>
        <v>2207.44150739139</v>
      </c>
      <c r="I36" s="10" t="n">
        <f aca="false">MAX('Gainsay economics · Gainsay ope'!I34-'Gainsay economics · Gainsay ope'!I35,0)</f>
        <v>2758.39903676251</v>
      </c>
      <c r="J36" s="10" t="n">
        <f aca="false">MAX('Gainsay economics · Gainsay ope'!J34-'Gainsay economics · Gainsay ope'!J35,0)</f>
        <v>3527.46318859253</v>
      </c>
      <c r="K36" s="10" t="n">
        <f aca="false">MAX('Gainsay economics · Gainsay ope'!K34-'Gainsay economics · Gainsay ope'!K35,0)</f>
        <v>4127.48433168158</v>
      </c>
      <c r="L36" s="10" t="n">
        <f aca="false">MAX('Gainsay economics · Gainsay ope'!L34-'Gainsay economics · Gainsay ope'!L35,0)</f>
        <v>4845.90712536276</v>
      </c>
      <c r="M36" s="10" t="n">
        <f aca="false">MAX('Gainsay economics · Gainsay ope'!M34-'Gainsay economics · Gainsay ope'!M35,0)</f>
        <v>5672.57657772658</v>
      </c>
      <c r="N36" s="10" t="n">
        <f aca="false">MAX('Gainsay economics · Gainsay ope'!N34-'Gainsay economics · Gainsay ope'!N35,0)</f>
        <v>6358.0383376765</v>
      </c>
      <c r="O36" s="10" t="n">
        <f aca="false">MAX('Gainsay economics · Gainsay ope'!O34-'Gainsay economics · Gainsay ope'!O35,0)</f>
        <v>7230.18707724105</v>
      </c>
      <c r="P36" s="10" t="n">
        <f aca="false">MAX('Gainsay economics · Gainsay ope'!P34-'Gainsay economics · Gainsay ope'!P35,0)</f>
        <v>7981.35581974331</v>
      </c>
    </row>
    <row r="37" customFormat="false" ht="18" hidden="false" customHeight="false" outlineLevel="0" collapsed="false">
      <c r="A37" s="9" t="s">
        <v>171</v>
      </c>
      <c r="B37" s="10" t="n">
        <f aca="false">('Gainsay economics · Gainsay ope'!B18+'Gainsay economics · Gainsay ope'!B6+'Gainsay economics · Gainsay ope'!B19)*'Gainsay drivers · Gainsay fixed'!B25/60</f>
        <v>1.8</v>
      </c>
      <c r="C37" s="10" t="n">
        <f aca="false">('Gainsay economics · Gainsay ope'!C18+'Gainsay economics · Gainsay ope'!C6+'Gainsay economics · Gainsay ope'!C19)*'Gainsay drivers · Gainsay fixed'!B25/60</f>
        <v>2.131</v>
      </c>
      <c r="D37" s="10" t="n">
        <f aca="false">('Gainsay economics · Gainsay ope'!D18+'Gainsay economics · Gainsay ope'!D6+'Gainsay economics · Gainsay ope'!D19)*'Gainsay drivers · Gainsay fixed'!B25/60</f>
        <v>2.46982</v>
      </c>
      <c r="E37" s="10" t="n">
        <f aca="false">('Gainsay economics · Gainsay ope'!E18+'Gainsay economics · Gainsay ope'!E6+'Gainsay economics · Gainsay ope'!E19)*'Gainsay drivers · Gainsay fixed'!B25/60</f>
        <v>2.8171129</v>
      </c>
      <c r="F37" s="10" t="n">
        <f aca="false">('Gainsay economics · Gainsay ope'!F18+'Gainsay economics · Gainsay ope'!F6+'Gainsay economics · Gainsay ope'!F19)*'Gainsay drivers · Gainsay fixed'!B25/60</f>
        <v>3.173556388</v>
      </c>
      <c r="G37" s="10" t="n">
        <f aca="false">('Gainsay economics · Gainsay ope'!G18+'Gainsay economics · Gainsay ope'!G6+'Gainsay economics · Gainsay ope'!G19)*'Gainsay drivers · Gainsay fixed'!B25/60</f>
        <v>3.53985441511</v>
      </c>
      <c r="H37" s="10" t="n">
        <f aca="false">('Gainsay economics · Gainsay ope'!H18+'Gainsay economics · Gainsay ope'!H6+'Gainsay economics · Gainsay ope'!H19)*'Gainsay drivers · Gainsay fixed'!B25/60</f>
        <v>3.9167387373442</v>
      </c>
      <c r="I37" s="10" t="n">
        <f aca="false">('Gainsay economics · Gainsay ope'!I18+'Gainsay economics · Gainsay ope'!I6+'Gainsay economics · Gainsay ope'!I19)*'Gainsay drivers · Gainsay fixed'!B25/60</f>
        <v>4.30497052764575</v>
      </c>
      <c r="J37" s="10" t="n">
        <f aca="false">('Gainsay economics · Gainsay ope'!J18+'Gainsay economics · Gainsay ope'!J6+'Gainsay economics · Gainsay ope'!J19)*'Gainsay drivers · Gainsay fixed'!B25/60</f>
        <v>4.70534206185935</v>
      </c>
      <c r="K37" s="10" t="n">
        <f aca="false">('Gainsay economics · Gainsay ope'!K18+'Gainsay economics · Gainsay ope'!K6+'Gainsay economics · Gainsay ope'!K19)*'Gainsay drivers · Gainsay fixed'!B25/60</f>
        <v>5.11867848254868</v>
      </c>
      <c r="L37" s="10" t="n">
        <f aca="false">('Gainsay economics · Gainsay ope'!L18+'Gainsay economics · Gainsay ope'!L6+'Gainsay economics · Gainsay ope'!L19)*'Gainsay drivers · Gainsay fixed'!B25/60</f>
        <v>5.5458396447446</v>
      </c>
      <c r="M37" s="10" t="n">
        <f aca="false">('Gainsay economics · Gainsay ope'!M18+'Gainsay economics · Gainsay ope'!M6+'Gainsay economics · Gainsay ope'!M19)*'Gainsay drivers · Gainsay fixed'!B25/60</f>
        <v>5.98772204790825</v>
      </c>
      <c r="N37" s="10" t="n">
        <f aca="false">('Gainsay economics · Gainsay ope'!N18+'Gainsay economics · Gainsay ope'!N6+'Gainsay economics · Gainsay ope'!N19)*'Gainsay drivers · Gainsay fixed'!B25/60</f>
        <v>6.44526085860229</v>
      </c>
      <c r="O37" s="10" t="n">
        <f aca="false">('Gainsay economics · Gainsay ope'!O18+'Gainsay economics · Gainsay ope'!O6+'Gainsay economics · Gainsay ope'!O19)*'Gainsay drivers · Gainsay fixed'!B25/60</f>
        <v>6.91943202858208</v>
      </c>
      <c r="P37" s="10" t="n">
        <f aca="false">('Gainsay economics · Gainsay ope'!P18+'Gainsay economics · Gainsay ope'!P6+'Gainsay economics · Gainsay ope'!P19)*'Gainsay drivers · Gainsay fixed'!B25/60</f>
        <v>7.41125451324937</v>
      </c>
    </row>
    <row r="38" customFormat="false" ht="18" hidden="false" customHeight="false" outlineLevel="0" collapsed="false">
      <c r="A38" s="9" t="s">
        <v>172</v>
      </c>
      <c r="B38" s="10" t="n">
        <f aca="false">MAX('Gainsay economics · Gainsay ope'!B37-'Gainsay drivers · Gainsay fixed'!B26,0)</f>
        <v>0</v>
      </c>
      <c r="C38" s="10" t="n">
        <f aca="false">MAX('Gainsay economics · Gainsay ope'!C37-'Gainsay drivers · Gainsay fixed'!B26,0)</f>
        <v>0</v>
      </c>
      <c r="D38" s="10" t="n">
        <f aca="false">MAX('Gainsay economics · Gainsay ope'!D37-'Gainsay drivers · Gainsay fixed'!B26,0)</f>
        <v>0</v>
      </c>
      <c r="E38" s="10" t="n">
        <f aca="false">MAX('Gainsay economics · Gainsay ope'!E37-'Gainsay drivers · Gainsay fixed'!B26,0)</f>
        <v>0</v>
      </c>
      <c r="F38" s="10" t="n">
        <f aca="false">MAX('Gainsay economics · Gainsay ope'!F37-'Gainsay drivers · Gainsay fixed'!B26,0)</f>
        <v>0</v>
      </c>
      <c r="G38" s="10" t="n">
        <f aca="false">MAX('Gainsay economics · Gainsay ope'!G37-'Gainsay drivers · Gainsay fixed'!B26,0)</f>
        <v>0</v>
      </c>
      <c r="H38" s="10" t="n">
        <f aca="false">MAX('Gainsay economics · Gainsay ope'!H37-'Gainsay drivers · Gainsay fixed'!B26,0)</f>
        <v>0</v>
      </c>
      <c r="I38" s="10" t="n">
        <f aca="false">MAX('Gainsay economics · Gainsay ope'!I37-'Gainsay drivers · Gainsay fixed'!B26,0)</f>
        <v>0</v>
      </c>
      <c r="J38" s="10" t="n">
        <f aca="false">MAX('Gainsay economics · Gainsay ope'!J37-'Gainsay drivers · Gainsay fixed'!B26,0)</f>
        <v>0</v>
      </c>
      <c r="K38" s="10" t="n">
        <f aca="false">MAX('Gainsay economics · Gainsay ope'!K37-'Gainsay drivers · Gainsay fixed'!B26,0)</f>
        <v>0</v>
      </c>
      <c r="L38" s="10" t="n">
        <f aca="false">MAX('Gainsay economics · Gainsay ope'!L37-'Gainsay drivers · Gainsay fixed'!B26,0)</f>
        <v>0</v>
      </c>
      <c r="M38" s="10" t="n">
        <f aca="false">MAX('Gainsay economics · Gainsay ope'!M37-'Gainsay drivers · Gainsay fixed'!B26,0)</f>
        <v>0</v>
      </c>
      <c r="N38" s="10" t="n">
        <f aca="false">MAX('Gainsay economics · Gainsay ope'!N37-'Gainsay drivers · Gainsay fixed'!B26,0)</f>
        <v>0</v>
      </c>
      <c r="O38" s="10" t="n">
        <f aca="false">MAX('Gainsay economics · Gainsay ope'!O37-'Gainsay drivers · Gainsay fixed'!B26,0)</f>
        <v>0</v>
      </c>
      <c r="P38" s="10" t="n">
        <f aca="false">MAX('Gainsay economics · Gainsay ope'!P37-'Gainsay drivers · Gainsay fixed'!B26,0)</f>
        <v>0</v>
      </c>
    </row>
    <row r="39" customFormat="false" ht="18" hidden="false" customHeight="false" outlineLevel="0" collapsed="false">
      <c r="A39" s="9" t="s">
        <v>173</v>
      </c>
      <c r="B39" s="10" t="n">
        <f aca="false">1</f>
        <v>1</v>
      </c>
      <c r="C39" s="10" t="n">
        <f aca="false">1</f>
        <v>1</v>
      </c>
      <c r="D39" s="10" t="n">
        <f aca="false">1</f>
        <v>1</v>
      </c>
      <c r="E39" s="10" t="n">
        <f aca="false">1</f>
        <v>1</v>
      </c>
      <c r="F39" s="10" t="n">
        <f aca="false">1</f>
        <v>1</v>
      </c>
      <c r="G39" s="10" t="n">
        <f aca="false">1</f>
        <v>1</v>
      </c>
      <c r="H39" s="10" t="n">
        <f aca="false">1</f>
        <v>1</v>
      </c>
      <c r="I39" s="10" t="n">
        <f aca="false">1</f>
        <v>1</v>
      </c>
      <c r="J39" s="10" t="n">
        <f aca="false">1</f>
        <v>1</v>
      </c>
      <c r="K39" s="10" t="n">
        <f aca="false">1</f>
        <v>1</v>
      </c>
      <c r="L39" s="10" t="n">
        <f aca="false">1</f>
        <v>1</v>
      </c>
      <c r="M39" s="10" t="n">
        <f aca="false">1</f>
        <v>1</v>
      </c>
      <c r="N39" s="10" t="n">
        <f aca="false">1</f>
        <v>1</v>
      </c>
      <c r="O39" s="10" t="n">
        <f aca="false">1</f>
        <v>1</v>
      </c>
      <c r="P39" s="10" t="n">
        <f aca="false">1</f>
        <v>1</v>
      </c>
    </row>
    <row r="40" customFormat="false" ht="18" hidden="false" customHeight="false" outlineLevel="0" collapsed="false">
      <c r="A40" s="9" t="s">
        <v>174</v>
      </c>
      <c r="B40" s="12" t="n">
        <f aca="false">'Gainsay economics · Gainsay ope'!B16*12</f>
        <v>1044</v>
      </c>
      <c r="C40" s="12" t="n">
        <f aca="false">'Gainsay economics · Gainsay ope'!C16*12</f>
        <v>2108.88</v>
      </c>
      <c r="D40" s="12" t="n">
        <f aca="false">'Gainsay economics · Gainsay ope'!D16*12</f>
        <v>3196.6236</v>
      </c>
      <c r="E40" s="12" t="n">
        <f aca="false">'Gainsay economics · Gainsay ope'!E16*12</f>
        <v>4309.285392</v>
      </c>
      <c r="F40" s="12" t="n">
        <f aca="false">'Gainsay economics · Gainsay ope'!F16*12</f>
        <v>5448.99535524</v>
      </c>
      <c r="G40" s="12" t="n">
        <f aca="false">'Gainsay economics · Gainsay ope'!G16*12</f>
        <v>6617.9634458328</v>
      </c>
      <c r="H40" s="12" t="n">
        <f aca="false">'Gainsay economics · Gainsay ope'!H16*12</f>
        <v>7818.48439127032</v>
      </c>
      <c r="I40" s="12" t="n">
        <f aca="false">'Gainsay economics · Gainsay ope'!I16*12</f>
        <v>9052.94270078533</v>
      </c>
      <c r="J40" s="12" t="n">
        <f aca="false">'Gainsay economics · Gainsay ope'!J16*12</f>
        <v>10323.8179030776</v>
      </c>
      <c r="K40" s="12" t="n">
        <f aca="false">'Gainsay economics · Gainsay ope'!K16*12</f>
        <v>11633.6900234668</v>
      </c>
      <c r="L40" s="12" t="n">
        <f aca="false">'Gainsay economics · Gainsay ope'!L16*12</f>
        <v>12985.2453131184</v>
      </c>
      <c r="M40" s="12" t="n">
        <f aca="false">'Gainsay economics · Gainsay ope'!M16*12</f>
        <v>14381.2822435983</v>
      </c>
      <c r="N40" s="12" t="n">
        <f aca="false">'Gainsay economics · Gainsay ope'!N16*12</f>
        <v>15824.7177806575</v>
      </c>
      <c r="O40" s="12" t="n">
        <f aca="false">'Gainsay economics · Gainsay ope'!O16*12</f>
        <v>17318.5939518232</v>
      </c>
      <c r="P40" s="12" t="n">
        <f aca="false">'Gainsay economics · Gainsay ope'!P16*12</f>
        <v>18866.0847230833</v>
      </c>
    </row>
    <row r="41" customFormat="false" ht="18" hidden="false" customHeight="false" outlineLevel="0" collapsed="false">
      <c r="A41" s="9" t="s">
        <v>175</v>
      </c>
      <c r="B41" s="23" t="n">
        <f aca="false">IFERROR('Gainsay economics · Gainsay ope'!B26/'Gainsay economics · Gainsay ope'!B7,"")</f>
        <v>-0.718604519774011</v>
      </c>
      <c r="C41" s="23" t="n">
        <f aca="false">IFERROR('Gainsay economics · Gainsay ope'!C26/'Gainsay economics · Gainsay ope'!C7,"")</f>
        <v>-0.161890023682652</v>
      </c>
      <c r="D41" s="23" t="n">
        <f aca="false">IFERROR('Gainsay economics · Gainsay ope'!D26/'Gainsay economics · Gainsay ope'!D7,"")</f>
        <v>0.113765031510327</v>
      </c>
      <c r="E41" s="23" t="n">
        <f aca="false">IFERROR('Gainsay economics · Gainsay ope'!E26/'Gainsay economics · Gainsay ope'!E7,"")</f>
        <v>0.278438321963799</v>
      </c>
      <c r="F41" s="23" t="n">
        <f aca="false">IFERROR('Gainsay economics · Gainsay ope'!F26/'Gainsay economics · Gainsay ope'!F7,"")</f>
        <v>0.388009433922017</v>
      </c>
      <c r="G41" s="23" t="n">
        <f aca="false">IFERROR('Gainsay economics · Gainsay ope'!G26/'Gainsay economics · Gainsay ope'!G7,"")</f>
        <v>0.466230539380185</v>
      </c>
      <c r="H41" s="23" t="n">
        <f aca="false">IFERROR('Gainsay economics · Gainsay ope'!H26/'Gainsay economics · Gainsay ope'!H7,"")</f>
        <v>0.524913795820051</v>
      </c>
      <c r="I41" s="23" t="n">
        <f aca="false">IFERROR('Gainsay economics · Gainsay ope'!I26/'Gainsay economics · Gainsay ope'!I7,"")</f>
        <v>0.570596329906039</v>
      </c>
      <c r="J41" s="23" t="n">
        <f aca="false">IFERROR('Gainsay economics · Gainsay ope'!J26/'Gainsay economics · Gainsay ope'!J7,"")</f>
        <v>0.607189084103447</v>
      </c>
      <c r="K41" s="23" t="n">
        <f aca="false">IFERROR('Gainsay economics · Gainsay ope'!K26/'Gainsay economics · Gainsay ope'!K7,"")</f>
        <v>0.63717520822337</v>
      </c>
      <c r="L41" s="23" t="n">
        <f aca="false">IFERROR('Gainsay economics · Gainsay ope'!L26/'Gainsay economics · Gainsay ope'!L7,"")</f>
        <v>0.662207115720424</v>
      </c>
      <c r="M41" s="23" t="n">
        <f aca="false">IFERROR('Gainsay economics · Gainsay ope'!M26/'Gainsay economics · Gainsay ope'!M7,"")</f>
        <v>0.683427067477457</v>
      </c>
      <c r="N41" s="23" t="n">
        <f aca="false">IFERROR('Gainsay economics · Gainsay ope'!N26/'Gainsay economics · Gainsay ope'!N7,"")</f>
        <v>0.701649942100006</v>
      </c>
      <c r="O41" s="23" t="n">
        <f aca="false">IFERROR('Gainsay economics · Gainsay ope'!O26/'Gainsay economics · Gainsay ope'!O7,"")</f>
        <v>0.717472689172543</v>
      </c>
      <c r="P41" s="23" t="n">
        <f aca="false">IFERROR('Gainsay economics · Gainsay ope'!P26/'Gainsay economics · Gainsay ope'!P7,"")</f>
        <v>0.731342627422657</v>
      </c>
    </row>
    <row r="42" customFormat="false" ht="18" hidden="false" customHeight="false" outlineLevel="0" collapsed="false">
      <c r="A42" s="9" t="s">
        <v>176</v>
      </c>
      <c r="B42" s="10" t="n">
        <f aca="false">DATEDIF(DATE(2026,10,1),DATE(2026,10,1),"M")+1</f>
        <v>1</v>
      </c>
      <c r="C42" s="10" t="n">
        <f aca="false">DATEDIF(DATE(2026,10,1),DATE(2026,11,1),"M")+1</f>
        <v>2</v>
      </c>
      <c r="D42" s="10" t="n">
        <f aca="false">DATEDIF(DATE(2026,10,1),DATE(2026,12,1),"M")+1</f>
        <v>3</v>
      </c>
      <c r="E42" s="10" t="n">
        <f aca="false">DATEDIF(DATE(2026,10,1),DATE(2027,1,1),"M")+1</f>
        <v>4</v>
      </c>
      <c r="F42" s="10" t="n">
        <f aca="false">DATEDIF(DATE(2026,10,1),DATE(2027,2,1),"M")+1</f>
        <v>5</v>
      </c>
      <c r="G42" s="10" t="n">
        <f aca="false">DATEDIF(DATE(2026,10,1),DATE(2027,3,1),"M")+1</f>
        <v>6</v>
      </c>
      <c r="H42" s="10" t="n">
        <f aca="false">DATEDIF(DATE(2026,10,1),DATE(2027,4,1),"M")+1</f>
        <v>7</v>
      </c>
      <c r="I42" s="10" t="n">
        <f aca="false">DATEDIF(DATE(2026,10,1),DATE(2027,5,1),"M")+1</f>
        <v>8</v>
      </c>
      <c r="J42" s="10" t="n">
        <f aca="false">DATEDIF(DATE(2026,10,1),DATE(2027,6,1),"M")+1</f>
        <v>9</v>
      </c>
      <c r="K42" s="10" t="n">
        <f aca="false">DATEDIF(DATE(2026,10,1),DATE(2027,7,1),"M")+1</f>
        <v>10</v>
      </c>
      <c r="L42" s="10" t="n">
        <f aca="false">DATEDIF(DATE(2026,10,1),DATE(2027,8,1),"M")+1</f>
        <v>11</v>
      </c>
      <c r="M42" s="10" t="n">
        <f aca="false">DATEDIF(DATE(2026,10,1),DATE(2027,9,1),"M")+1</f>
        <v>12</v>
      </c>
      <c r="N42" s="10" t="n">
        <f aca="false">DATEDIF(DATE(2026,10,1),DATE(2027,10,1),"M")+1</f>
        <v>13</v>
      </c>
      <c r="O42" s="10" t="n">
        <f aca="false">DATEDIF(DATE(2026,10,1),DATE(2027,11,1),"M")+1</f>
        <v>14</v>
      </c>
      <c r="P42" s="10" t="n">
        <f aca="false">DATEDIF(DATE(2026,10,1),DATE(2027,12,1),"M")+1</f>
        <v>15</v>
      </c>
    </row>
    <row r="43" customFormat="false" ht="18" hidden="false" customHeight="false" outlineLevel="0" collapsed="false">
      <c r="A43" s="9" t="s">
        <v>177</v>
      </c>
      <c r="B43" s="10" t="n">
        <f aca="false">(('Gainsay economics · Gainsay ope'!B5*'Gainsay drivers · Gainsay fixed'!B8+'Gainsay economics · Gainsay ope'!B6)*'Gainsay drivers · Gainsay fixed'!B9+'Gainsay drivers · Gainsay fixed'!B11*'Gainsay drivers · Gainsay fixed'!B10)*'Gainsay drivers · Gainsay fixed'!B12/'Gainsay drivers · Gainsay fixed'!B32+'Gainsay economics · Gainsay ope'!B5*'Gainsay drivers · Gainsay fixed'!B14</f>
        <v>79.3157894736842</v>
      </c>
      <c r="C43" s="10" t="n">
        <f aca="false">(('Gainsay economics · Gainsay ope'!C5*'Gainsay drivers · Gainsay fixed'!B8+'Gainsay economics · Gainsay ope'!C6)*'Gainsay drivers · Gainsay fixed'!B9+'Gainsay drivers · Gainsay fixed'!B11*'Gainsay drivers · Gainsay fixed'!B10)*'Gainsay drivers · Gainsay fixed'!B12/'Gainsay drivers · Gainsay fixed'!B32+'Gainsay economics · Gainsay ope'!C5*'Gainsay drivers · Gainsay fixed'!B14</f>
        <v>97.6192105263158</v>
      </c>
      <c r="D43" s="10" t="n">
        <f aca="false">(('Gainsay economics · Gainsay ope'!D5*'Gainsay drivers · Gainsay fixed'!B8+'Gainsay economics · Gainsay ope'!D6)*'Gainsay drivers · Gainsay fixed'!B9+'Gainsay drivers · Gainsay fixed'!B11*'Gainsay drivers · Gainsay fixed'!B10)*'Gainsay drivers · Gainsay fixed'!B12/'Gainsay drivers · Gainsay fixed'!B32+'Gainsay economics · Gainsay ope'!D5*'Gainsay drivers · Gainsay fixed'!B14</f>
        <v>116.348463157895</v>
      </c>
      <c r="E43" s="10" t="n">
        <f aca="false">(('Gainsay economics · Gainsay ope'!E5*'Gainsay drivers · Gainsay fixed'!B8+'Gainsay economics · Gainsay ope'!E6)*'Gainsay drivers · Gainsay fixed'!B9+'Gainsay drivers · Gainsay fixed'!B11*'Gainsay drivers · Gainsay fixed'!B10)*'Gainsay drivers · Gainsay fixed'!B12/'Gainsay drivers · Gainsay fixed'!B32+'Gainsay economics · Gainsay ope'!E5*'Gainsay drivers · Gainsay fixed'!B14</f>
        <v>135.539519131579</v>
      </c>
      <c r="F43" s="10" t="n">
        <f aca="false">(('Gainsay economics · Gainsay ope'!F5*'Gainsay drivers · Gainsay fixed'!B8+'Gainsay economics · Gainsay ope'!F6)*'Gainsay drivers · Gainsay fixed'!B9+'Gainsay drivers · Gainsay fixed'!B11*'Gainsay drivers · Gainsay fixed'!B10)*'Gainsay drivers · Gainsay fixed'!B12/'Gainsay drivers · Gainsay fixed'!B32+'Gainsay economics · Gainsay ope'!F5*'Gainsay drivers · Gainsay fixed'!B14</f>
        <v>155.229708393158</v>
      </c>
      <c r="G43" s="10" t="n">
        <f aca="false">(('Gainsay economics · Gainsay ope'!G5*'Gainsay drivers · Gainsay fixed'!B8+'Gainsay economics · Gainsay ope'!G6)*'Gainsay drivers · Gainsay fixed'!B9+'Gainsay drivers · Gainsay fixed'!B11*'Gainsay drivers · Gainsay fixed'!B10)*'Gainsay drivers · Gainsay fixed'!B12/'Gainsay drivers · Gainsay fixed'!B32+'Gainsay economics · Gainsay ope'!G5*'Gainsay drivers · Gainsay fixed'!B14</f>
        <v>175.45780019235</v>
      </c>
      <c r="H43" s="10" t="n">
        <f aca="false">(('Gainsay economics · Gainsay ope'!H5*'Gainsay drivers · Gainsay fixed'!B8+'Gainsay economics · Gainsay ope'!H6)*'Gainsay drivers · Gainsay fixed'!B9+'Gainsay drivers · Gainsay fixed'!B11*'Gainsay drivers · Gainsay fixed'!B10)*'Gainsay drivers · Gainsay fixed'!B12/'Gainsay drivers · Gainsay fixed'!B32+'Gainsay economics · Gainsay ope'!H5*'Gainsay drivers · Gainsay fixed'!B14</f>
        <v>196.2640878638</v>
      </c>
      <c r="I43" s="10" t="n">
        <f aca="false">(('Gainsay economics · Gainsay ope'!I5*'Gainsay drivers · Gainsay fixed'!B8+'Gainsay economics · Gainsay ope'!I6)*'Gainsay drivers · Gainsay fixed'!B9+'Gainsay drivers · Gainsay fixed'!B11*'Gainsay drivers · Gainsay fixed'!B10)*'Gainsay drivers · Gainsay fixed'!B12/'Gainsay drivers · Gainsay fixed'!B32+'Gainsay economics · Gainsay ope'!I5*'Gainsay drivers · Gainsay fixed'!B14</f>
        <v>217.690477462652</v>
      </c>
      <c r="J43" s="10" t="n">
        <f aca="false">(('Gainsay economics · Gainsay ope'!J5*'Gainsay drivers · Gainsay fixed'!B8+'Gainsay economics · Gainsay ope'!J6)*'Gainsay drivers · Gainsay fixed'!B9+'Gainsay drivers · Gainsay fixed'!B11*'Gainsay drivers · Gainsay fixed'!B10)*'Gainsay drivers · Gainsay fixed'!B12/'Gainsay drivers · Gainsay fixed'!B32+'Gainsay economics · Gainsay ope'!J5*'Gainsay drivers · Gainsay fixed'!B14</f>
        <v>239.78058045896</v>
      </c>
      <c r="K43" s="10" t="n">
        <f aca="false">(('Gainsay economics · Gainsay ope'!K5*'Gainsay drivers · Gainsay fixed'!B8+'Gainsay economics · Gainsay ope'!K6)*'Gainsay drivers · Gainsay fixed'!B9+'Gainsay drivers · Gainsay fixed'!B11*'Gainsay drivers · Gainsay fixed'!B10)*'Gainsay drivers · Gainsay fixed'!B12/'Gainsay drivers · Gainsay fixed'!B32+'Gainsay economics · Gainsay ope'!K5*'Gainsay drivers · Gainsay fixed'!B14</f>
        <v>262.579810705073</v>
      </c>
      <c r="L43" s="10" t="n">
        <f aca="false">(('Gainsay economics · Gainsay ope'!L5*'Gainsay drivers · Gainsay fixed'!B8+'Gainsay economics · Gainsay ope'!L6)*'Gainsay drivers · Gainsay fixed'!B9+'Gainsay drivers · Gainsay fixed'!B11*'Gainsay drivers · Gainsay fixed'!B10)*'Gainsay drivers · Gainsay fixed'!B12/'Gainsay drivers · Gainsay fixed'!B32+'Gainsay economics · Gainsay ope'!L5*'Gainsay drivers · Gainsay fixed'!B14</f>
        <v>286.135485900481</v>
      </c>
      <c r="M43" s="10" t="n">
        <f aca="false">(('Gainsay economics · Gainsay ope'!M5*'Gainsay drivers · Gainsay fixed'!B8+'Gainsay economics · Gainsay ope'!M6)*'Gainsay drivers · Gainsay fixed'!B9+'Gainsay drivers · Gainsay fixed'!B11*'Gainsay drivers · Gainsay fixed'!B10)*'Gainsay drivers · Gainsay fixed'!B12/'Gainsay drivers · Gainsay fixed'!B32+'Gainsay economics · Gainsay ope'!M5*'Gainsay drivers · Gainsay fixed'!B14</f>
        <v>310.496933789539</v>
      </c>
      <c r="N43" s="10" t="n">
        <f aca="false">(('Gainsay economics · Gainsay ope'!N5*'Gainsay drivers · Gainsay fixed'!B8+'Gainsay economics · Gainsay ope'!N6)*'Gainsay drivers · Gainsay fixed'!B9+'Gainsay drivers · Gainsay fixed'!B11*'Gainsay drivers · Gainsay fixed'!B10)*'Gainsay drivers · Gainsay fixed'!B12/'Gainsay drivers · Gainsay fixed'!B32+'Gainsay economics · Gainsay ope'!N5*'Gainsay drivers · Gainsay fixed'!B14</f>
        <v>335.715603338913</v>
      </c>
      <c r="O43" s="10" t="n">
        <f aca="false">(('Gainsay economics · Gainsay ope'!O5*'Gainsay drivers · Gainsay fixed'!B8+'Gainsay economics · Gainsay ope'!O6)*'Gainsay drivers · Gainsay fixed'!B9+'Gainsay drivers · Gainsay fixed'!B11*'Gainsay drivers · Gainsay fixed'!B10)*'Gainsay drivers · Gainsay fixed'!B12/'Gainsay drivers · Gainsay fixed'!B32+'Gainsay economics · Gainsay ope'!O5*'Gainsay drivers · Gainsay fixed'!B14</f>
        <v>361.845181153643</v>
      </c>
      <c r="P43" s="10" t="n">
        <f aca="false">(('Gainsay economics · Gainsay ope'!P5*'Gainsay drivers · Gainsay fixed'!B8+'Gainsay economics · Gainsay ope'!P6)*'Gainsay drivers · Gainsay fixed'!B9+'Gainsay drivers · Gainsay fixed'!B11*'Gainsay drivers · Gainsay fixed'!B10)*'Gainsay drivers · Gainsay fixed'!B12/'Gainsay drivers · Gainsay fixed'!B32+'Gainsay economics · Gainsay ope'!P5*'Gainsay drivers · Gainsay fixed'!B14</f>
        <v>388.94171340336</v>
      </c>
    </row>
    <row r="44" customFormat="false" ht="18" hidden="false" customHeight="false" outlineLevel="0" collapsed="false">
      <c r="A44" s="9" t="s">
        <v>178</v>
      </c>
      <c r="B44" s="10" t="n">
        <f aca="false">(('Gainsay economics · Gainsay ope'!B5*'Gainsay drivers · Gainsay fixed'!B8+'Gainsay economics · Gainsay ope'!B6)*'Gainsay drivers · Gainsay fixed'!B9+'Gainsay drivers · Gainsay fixed'!B11*'Gainsay drivers · Gainsay fixed'!B10)*'Gainsay drivers · Gainsay fixed'!B29/'Gainsay drivers · Gainsay fixed'!B32+'Gainsay economics · Gainsay ope'!B5*'Gainsay drivers · Gainsay fixed'!B14</f>
        <v>33.5263157894737</v>
      </c>
      <c r="C44" s="10" t="n">
        <f aca="false">(('Gainsay economics · Gainsay ope'!C5*'Gainsay drivers · Gainsay fixed'!B8+'Gainsay economics · Gainsay ope'!C6)*'Gainsay drivers · Gainsay fixed'!B9+'Gainsay drivers · Gainsay fixed'!B11*'Gainsay drivers · Gainsay fixed'!B10)*'Gainsay drivers · Gainsay fixed'!B29/'Gainsay drivers · Gainsay fixed'!B32+'Gainsay economics · Gainsay ope'!C5*'Gainsay drivers · Gainsay fixed'!B14</f>
        <v>42.6836842105263</v>
      </c>
      <c r="D44" s="10" t="n">
        <f aca="false">(('Gainsay economics · Gainsay ope'!D5*'Gainsay drivers · Gainsay fixed'!B8+'Gainsay economics · Gainsay ope'!D6)*'Gainsay drivers · Gainsay fixed'!B9+'Gainsay drivers · Gainsay fixed'!B11*'Gainsay drivers · Gainsay fixed'!B10)*'Gainsay drivers · Gainsay fixed'!B29/'Gainsay drivers · Gainsay fixed'!B32+'Gainsay economics · Gainsay ope'!D5*'Gainsay drivers · Gainsay fixed'!B14</f>
        <v>52.0508052631579</v>
      </c>
      <c r="E44" s="10" t="n">
        <f aca="false">(('Gainsay economics · Gainsay ope'!E5*'Gainsay drivers · Gainsay fixed'!B8+'Gainsay economics · Gainsay ope'!E6)*'Gainsay drivers · Gainsay fixed'!B9+'Gainsay drivers · Gainsay fixed'!B11*'Gainsay drivers · Gainsay fixed'!B10)*'Gainsay drivers · Gainsay fixed'!B29/'Gainsay drivers · Gainsay fixed'!B32+'Gainsay economics · Gainsay ope'!E5*'Gainsay drivers · Gainsay fixed'!B14</f>
        <v>61.6456100526316</v>
      </c>
      <c r="F44" s="10" t="n">
        <f aca="false">(('Gainsay economics · Gainsay ope'!F5*'Gainsay drivers · Gainsay fixed'!B8+'Gainsay economics · Gainsay ope'!F6)*'Gainsay drivers · Gainsay fixed'!B9+'Gainsay drivers · Gainsay fixed'!B11*'Gainsay drivers · Gainsay fixed'!B10)*'Gainsay drivers · Gainsay fixed'!B29/'Gainsay drivers · Gainsay fixed'!B32+'Gainsay economics · Gainsay ope'!F5*'Gainsay drivers · Gainsay fixed'!B14</f>
        <v>71.4867029352632</v>
      </c>
      <c r="G44" s="10" t="n">
        <f aca="false">(('Gainsay economics · Gainsay ope'!G5*'Gainsay drivers · Gainsay fixed'!B8+'Gainsay economics · Gainsay ope'!G6)*'Gainsay drivers · Gainsay fixed'!B9+'Gainsay drivers · Gainsay fixed'!B11*'Gainsay drivers · Gainsay fixed'!B10)*'Gainsay drivers · Gainsay fixed'!B29/'Gainsay drivers · Gainsay fixed'!B32+'Gainsay economics · Gainsay ope'!G5*'Gainsay drivers · Gainsay fixed'!B14</f>
        <v>81.5934018801</v>
      </c>
      <c r="H44" s="10" t="n">
        <f aca="false">(('Gainsay economics · Gainsay ope'!H5*'Gainsay drivers · Gainsay fixed'!B8+'Gainsay economics · Gainsay ope'!H6)*'Gainsay drivers · Gainsay fixed'!B9+'Gainsay drivers · Gainsay fixed'!B11*'Gainsay drivers · Gainsay fixed'!B10)*'Gainsay drivers · Gainsay fixed'!B29/'Gainsay drivers · Gainsay fixed'!B32+'Gainsay economics · Gainsay ope'!H5*'Gainsay drivers · Gainsay fixed'!B14</f>
        <v>91.9857806477102</v>
      </c>
      <c r="I44" s="10" t="n">
        <f aca="false">(('Gainsay economics · Gainsay ope'!I5*'Gainsay drivers · Gainsay fixed'!B8+'Gainsay economics · Gainsay ope'!I6)*'Gainsay drivers · Gainsay fixed'!B9+'Gainsay drivers · Gainsay fixed'!B11*'Gainsay drivers · Gainsay fixed'!B10)*'Gainsay drivers · Gainsay fixed'!B29/'Gainsay drivers · Gainsay fixed'!B32+'Gainsay economics · Gainsay ope'!I5*'Gainsay drivers · Gainsay fixed'!B14</f>
        <v>102.684712882966</v>
      </c>
      <c r="J44" s="10" t="n">
        <f aca="false">(('Gainsay economics · Gainsay ope'!J5*'Gainsay drivers · Gainsay fixed'!B8+'Gainsay economics · Gainsay ope'!J6)*'Gainsay drivers · Gainsay fixed'!B9+'Gainsay drivers · Gainsay fixed'!B11*'Gainsay drivers · Gainsay fixed'!B10)*'Gainsay drivers · Gainsay fixed'!B29/'Gainsay drivers · Gainsay fixed'!B32+'Gainsay economics · Gainsay ope'!J5*'Gainsay drivers · Gainsay fixed'!B14</f>
        <v>113.711918223373</v>
      </c>
      <c r="K44" s="10" t="n">
        <f aca="false">(('Gainsay economics · Gainsay ope'!K5*'Gainsay drivers · Gainsay fixed'!B8+'Gainsay economics · Gainsay ope'!K6)*'Gainsay drivers · Gainsay fixed'!B9+'Gainsay drivers · Gainsay fixed'!B11*'Gainsay drivers · Gainsay fixed'!B10)*'Gainsay drivers · Gainsay fixed'!B29/'Gainsay drivers · Gainsay fixed'!B32+'Gainsay economics · Gainsay ope'!K5*'Gainsay drivers · Gainsay fixed'!B14</f>
        <v>125.090010529386</v>
      </c>
      <c r="L44" s="10" t="n">
        <f aca="false">(('Gainsay economics · Gainsay ope'!L5*'Gainsay drivers · Gainsay fixed'!B8+'Gainsay economics · Gainsay ope'!L6)*'Gainsay drivers · Gainsay fixed'!B9+'Gainsay drivers · Gainsay fixed'!B11*'Gainsay drivers · Gainsay fixed'!B10)*'Gainsay drivers · Gainsay fixed'!B29/'Gainsay drivers · Gainsay fixed'!B32+'Gainsay economics · Gainsay ope'!L5*'Gainsay drivers · Gainsay fixed'!B14</f>
        <v>136.842548348328</v>
      </c>
      <c r="M44" s="10" t="n">
        <f aca="false">(('Gainsay economics · Gainsay ope'!M5*'Gainsay drivers · Gainsay fixed'!B8+'Gainsay economics · Gainsay ope'!M6)*'Gainsay drivers · Gainsay fixed'!B9+'Gainsay drivers · Gainsay fixed'!B11*'Gainsay drivers · Gainsay fixed'!B10)*'Gainsay drivers · Gainsay fixed'!B29/'Gainsay drivers · Gainsay fixed'!B32+'Gainsay economics · Gainsay ope'!M5*'Gainsay drivers · Gainsay fixed'!B14</f>
        <v>148.994087728916</v>
      </c>
      <c r="N44" s="10" t="n">
        <f aca="false">(('Gainsay economics · Gainsay ope'!N5*'Gainsay drivers · Gainsay fixed'!B8+'Gainsay economics · Gainsay ope'!N6)*'Gainsay drivers · Gainsay fixed'!B9+'Gainsay drivers · Gainsay fixed'!B11*'Gainsay drivers · Gainsay fixed'!B10)*'Gainsay drivers · Gainsay fixed'!B29/'Gainsay drivers · Gainsay fixed'!B32+'Gainsay economics · Gainsay ope'!N5*'Gainsay drivers · Gainsay fixed'!B14</f>
        <v>161.570237509112</v>
      </c>
      <c r="O44" s="10" t="n">
        <f aca="false">(('Gainsay economics · Gainsay ope'!O5*'Gainsay drivers · Gainsay fixed'!B8+'Gainsay economics · Gainsay ope'!O6)*'Gainsay drivers · Gainsay fixed'!B9+'Gainsay drivers · Gainsay fixed'!B11*'Gainsay drivers · Gainsay fixed'!B10)*'Gainsay drivers · Gainsay fixed'!B29/'Gainsay drivers · Gainsay fixed'!B32+'Gainsay economics · Gainsay ope'!O5*'Gainsay drivers · Gainsay fixed'!B14</f>
        <v>174.59771720598</v>
      </c>
      <c r="P44" s="10" t="n">
        <f aca="false">(('Gainsay economics · Gainsay ope'!P5*'Gainsay drivers · Gainsay fixed'!B8+'Gainsay economics · Gainsay ope'!P6)*'Gainsay drivers · Gainsay fixed'!B9+'Gainsay drivers · Gainsay fixed'!B11*'Gainsay drivers · Gainsay fixed'!B10)*'Gainsay drivers · Gainsay fixed'!B29/'Gainsay drivers · Gainsay fixed'!B32+'Gainsay economics · Gainsay ope'!P5*'Gainsay drivers · Gainsay fixed'!B14</f>
        <v>188.104417642522</v>
      </c>
    </row>
    <row r="45" customFormat="false" ht="18" hidden="false" customHeight="false" outlineLevel="0" collapsed="false">
      <c r="A45" s="9" t="s">
        <v>179</v>
      </c>
      <c r="B45" s="10" t="n">
        <f aca="false">IF(IF(IF(ISERROR('Gainsay economics · Gainsay ope'!B43&gt;'Gainsay drivers · Gainsay fixed'!B13),'Gainsay economics · Gainsay ope'!B43&gt;'Gainsay drivers · Gainsay fixed'!B13,IF(OR('Gainsay economics · Gainsay ope'!B43="",'Gainsay drivers · Gainsay fixed'!B13=""),"",'Gainsay economics · Gainsay ope'!B43&gt;'Gainsay drivers · Gainsay fixed'!B13))="",FALSE(),IF(ISERROR('Gainsay economics · Gainsay ope'!B43&gt;'Gainsay drivers · Gainsay fixed'!B13),'Gainsay economics · Gainsay ope'!B43&gt;'Gainsay drivers · Gainsay fixed'!B13,IF(OR('Gainsay economics · Gainsay ope'!B43="",'Gainsay drivers · Gainsay fixed'!B13=""),"",'Gainsay economics · Gainsay ope'!B43&gt;'Gainsay drivers · Gainsay fixed'!B13))),1,0)</f>
        <v>0</v>
      </c>
      <c r="C45" s="10" t="n">
        <f aca="false">IF(IF(IF(ISERROR('Gainsay economics · Gainsay ope'!C43&gt;'Gainsay drivers · Gainsay fixed'!B13),'Gainsay economics · Gainsay ope'!C43&gt;'Gainsay drivers · Gainsay fixed'!B13,IF(OR('Gainsay economics · Gainsay ope'!C43="",'Gainsay drivers · Gainsay fixed'!B13=""),"",'Gainsay economics · Gainsay ope'!C43&gt;'Gainsay drivers · Gainsay fixed'!B13))="",FALSE(),IF(ISERROR('Gainsay economics · Gainsay ope'!C43&gt;'Gainsay drivers · Gainsay fixed'!B13),'Gainsay economics · Gainsay ope'!C43&gt;'Gainsay drivers · Gainsay fixed'!B13,IF(OR('Gainsay economics · Gainsay ope'!C43="",'Gainsay drivers · Gainsay fixed'!B13=""),"",'Gainsay economics · Gainsay ope'!C43&gt;'Gainsay drivers · Gainsay fixed'!B13))),1,0)</f>
        <v>0</v>
      </c>
      <c r="D45" s="10" t="n">
        <f aca="false">IF(IF(IF(ISERROR('Gainsay economics · Gainsay ope'!D43&gt;'Gainsay drivers · Gainsay fixed'!B13),'Gainsay economics · Gainsay ope'!D43&gt;'Gainsay drivers · Gainsay fixed'!B13,IF(OR('Gainsay economics · Gainsay ope'!D43="",'Gainsay drivers · Gainsay fixed'!B13=""),"",'Gainsay economics · Gainsay ope'!D43&gt;'Gainsay drivers · Gainsay fixed'!B13))="",FALSE(),IF(ISERROR('Gainsay economics · Gainsay ope'!D43&gt;'Gainsay drivers · Gainsay fixed'!B13),'Gainsay economics · Gainsay ope'!D43&gt;'Gainsay drivers · Gainsay fixed'!B13,IF(OR('Gainsay economics · Gainsay ope'!D43="",'Gainsay drivers · Gainsay fixed'!B13=""),"",'Gainsay economics · Gainsay ope'!D43&gt;'Gainsay drivers · Gainsay fixed'!B13))),1,0)</f>
        <v>0</v>
      </c>
      <c r="E45" s="10" t="n">
        <f aca="false">IF(IF(IF(ISERROR('Gainsay economics · Gainsay ope'!E43&gt;'Gainsay drivers · Gainsay fixed'!B13),'Gainsay economics · Gainsay ope'!E43&gt;'Gainsay drivers · Gainsay fixed'!B13,IF(OR('Gainsay economics · Gainsay ope'!E43="",'Gainsay drivers · Gainsay fixed'!B13=""),"",'Gainsay economics · Gainsay ope'!E43&gt;'Gainsay drivers · Gainsay fixed'!B13))="",FALSE(),IF(ISERROR('Gainsay economics · Gainsay ope'!E43&gt;'Gainsay drivers · Gainsay fixed'!B13),'Gainsay economics · Gainsay ope'!E43&gt;'Gainsay drivers · Gainsay fixed'!B13,IF(OR('Gainsay economics · Gainsay ope'!E43="",'Gainsay drivers · Gainsay fixed'!B13=""),"",'Gainsay economics · Gainsay ope'!E43&gt;'Gainsay drivers · Gainsay fixed'!B13))),1,0)</f>
        <v>1</v>
      </c>
      <c r="F45" s="10" t="n">
        <f aca="false">IF(IF(IF(ISERROR('Gainsay economics · Gainsay ope'!F43&gt;'Gainsay drivers · Gainsay fixed'!B13),'Gainsay economics · Gainsay ope'!F43&gt;'Gainsay drivers · Gainsay fixed'!B13,IF(OR('Gainsay economics · Gainsay ope'!F43="",'Gainsay drivers · Gainsay fixed'!B13=""),"",'Gainsay economics · Gainsay ope'!F43&gt;'Gainsay drivers · Gainsay fixed'!B13))="",FALSE(),IF(ISERROR('Gainsay economics · Gainsay ope'!F43&gt;'Gainsay drivers · Gainsay fixed'!B13),'Gainsay economics · Gainsay ope'!F43&gt;'Gainsay drivers · Gainsay fixed'!B13,IF(OR('Gainsay economics · Gainsay ope'!F43="",'Gainsay drivers · Gainsay fixed'!B13=""),"",'Gainsay economics · Gainsay ope'!F43&gt;'Gainsay drivers · Gainsay fixed'!B13))),1,0)</f>
        <v>1</v>
      </c>
      <c r="G45" s="10" t="n">
        <f aca="false">IF(IF(IF(ISERROR('Gainsay economics · Gainsay ope'!G43&gt;'Gainsay drivers · Gainsay fixed'!B13),'Gainsay economics · Gainsay ope'!G43&gt;'Gainsay drivers · Gainsay fixed'!B13,IF(OR('Gainsay economics · Gainsay ope'!G43="",'Gainsay drivers · Gainsay fixed'!B13=""),"",'Gainsay economics · Gainsay ope'!G43&gt;'Gainsay drivers · Gainsay fixed'!B13))="",FALSE(),IF(ISERROR('Gainsay economics · Gainsay ope'!G43&gt;'Gainsay drivers · Gainsay fixed'!B13),'Gainsay economics · Gainsay ope'!G43&gt;'Gainsay drivers · Gainsay fixed'!B13,IF(OR('Gainsay economics · Gainsay ope'!G43="",'Gainsay drivers · Gainsay fixed'!B13=""),"",'Gainsay economics · Gainsay ope'!G43&gt;'Gainsay drivers · Gainsay fixed'!B13))),1,0)</f>
        <v>1</v>
      </c>
      <c r="H45" s="10" t="n">
        <f aca="false">IF(IF(IF(ISERROR('Gainsay economics · Gainsay ope'!H43&gt;'Gainsay drivers · Gainsay fixed'!B13),'Gainsay economics · Gainsay ope'!H43&gt;'Gainsay drivers · Gainsay fixed'!B13,IF(OR('Gainsay economics · Gainsay ope'!H43="",'Gainsay drivers · Gainsay fixed'!B13=""),"",'Gainsay economics · Gainsay ope'!H43&gt;'Gainsay drivers · Gainsay fixed'!B13))="",FALSE(),IF(ISERROR('Gainsay economics · Gainsay ope'!H43&gt;'Gainsay drivers · Gainsay fixed'!B13),'Gainsay economics · Gainsay ope'!H43&gt;'Gainsay drivers · Gainsay fixed'!B13,IF(OR('Gainsay economics · Gainsay ope'!H43="",'Gainsay drivers · Gainsay fixed'!B13=""),"",'Gainsay economics · Gainsay ope'!H43&gt;'Gainsay drivers · Gainsay fixed'!B13))),1,0)</f>
        <v>1</v>
      </c>
      <c r="I45" s="10" t="n">
        <f aca="false">IF(IF(IF(ISERROR('Gainsay economics · Gainsay ope'!I43&gt;'Gainsay drivers · Gainsay fixed'!B13),'Gainsay economics · Gainsay ope'!I43&gt;'Gainsay drivers · Gainsay fixed'!B13,IF(OR('Gainsay economics · Gainsay ope'!I43="",'Gainsay drivers · Gainsay fixed'!B13=""),"",'Gainsay economics · Gainsay ope'!I43&gt;'Gainsay drivers · Gainsay fixed'!B13))="",FALSE(),IF(ISERROR('Gainsay economics · Gainsay ope'!I43&gt;'Gainsay drivers · Gainsay fixed'!B13),'Gainsay economics · Gainsay ope'!I43&gt;'Gainsay drivers · Gainsay fixed'!B13,IF(OR('Gainsay economics · Gainsay ope'!I43="",'Gainsay drivers · Gainsay fixed'!B13=""),"",'Gainsay economics · Gainsay ope'!I43&gt;'Gainsay drivers · Gainsay fixed'!B13))),1,0)</f>
        <v>1</v>
      </c>
      <c r="J45" s="10" t="n">
        <f aca="false">IF(IF(IF(ISERROR('Gainsay economics · Gainsay ope'!J43&gt;'Gainsay drivers · Gainsay fixed'!B13),'Gainsay economics · Gainsay ope'!J43&gt;'Gainsay drivers · Gainsay fixed'!B13,IF(OR('Gainsay economics · Gainsay ope'!J43="",'Gainsay drivers · Gainsay fixed'!B13=""),"",'Gainsay economics · Gainsay ope'!J43&gt;'Gainsay drivers · Gainsay fixed'!B13))="",FALSE(),IF(ISERROR('Gainsay economics · Gainsay ope'!J43&gt;'Gainsay drivers · Gainsay fixed'!B13),'Gainsay economics · Gainsay ope'!J43&gt;'Gainsay drivers · Gainsay fixed'!B13,IF(OR('Gainsay economics · Gainsay ope'!J43="",'Gainsay drivers · Gainsay fixed'!B13=""),"",'Gainsay economics · Gainsay ope'!J43&gt;'Gainsay drivers · Gainsay fixed'!B13))),1,0)</f>
        <v>1</v>
      </c>
      <c r="K45" s="10" t="n">
        <f aca="false">IF(IF(IF(ISERROR('Gainsay economics · Gainsay ope'!K43&gt;'Gainsay drivers · Gainsay fixed'!B13),'Gainsay economics · Gainsay ope'!K43&gt;'Gainsay drivers · Gainsay fixed'!B13,IF(OR('Gainsay economics · Gainsay ope'!K43="",'Gainsay drivers · Gainsay fixed'!B13=""),"",'Gainsay economics · Gainsay ope'!K43&gt;'Gainsay drivers · Gainsay fixed'!B13))="",FALSE(),IF(ISERROR('Gainsay economics · Gainsay ope'!K43&gt;'Gainsay drivers · Gainsay fixed'!B13),'Gainsay economics · Gainsay ope'!K43&gt;'Gainsay drivers · Gainsay fixed'!B13,IF(OR('Gainsay economics · Gainsay ope'!K43="",'Gainsay drivers · Gainsay fixed'!B13=""),"",'Gainsay economics · Gainsay ope'!K43&gt;'Gainsay drivers · Gainsay fixed'!B13))),1,0)</f>
        <v>1</v>
      </c>
      <c r="L45" s="10" t="n">
        <f aca="false">IF(IF(IF(ISERROR('Gainsay economics · Gainsay ope'!L43&gt;'Gainsay drivers · Gainsay fixed'!B13),'Gainsay economics · Gainsay ope'!L43&gt;'Gainsay drivers · Gainsay fixed'!B13,IF(OR('Gainsay economics · Gainsay ope'!L43="",'Gainsay drivers · Gainsay fixed'!B13=""),"",'Gainsay economics · Gainsay ope'!L43&gt;'Gainsay drivers · Gainsay fixed'!B13))="",FALSE(),IF(ISERROR('Gainsay economics · Gainsay ope'!L43&gt;'Gainsay drivers · Gainsay fixed'!B13),'Gainsay economics · Gainsay ope'!L43&gt;'Gainsay drivers · Gainsay fixed'!B13,IF(OR('Gainsay economics · Gainsay ope'!L43="",'Gainsay drivers · Gainsay fixed'!B13=""),"",'Gainsay economics · Gainsay ope'!L43&gt;'Gainsay drivers · Gainsay fixed'!B13))),1,0)</f>
        <v>1</v>
      </c>
      <c r="M45" s="10" t="n">
        <f aca="false">IF(IF(IF(ISERROR('Gainsay economics · Gainsay ope'!M43&gt;'Gainsay drivers · Gainsay fixed'!B13),'Gainsay economics · Gainsay ope'!M43&gt;'Gainsay drivers · Gainsay fixed'!B13,IF(OR('Gainsay economics · Gainsay ope'!M43="",'Gainsay drivers · Gainsay fixed'!B13=""),"",'Gainsay economics · Gainsay ope'!M43&gt;'Gainsay drivers · Gainsay fixed'!B13))="",FALSE(),IF(ISERROR('Gainsay economics · Gainsay ope'!M43&gt;'Gainsay drivers · Gainsay fixed'!B13),'Gainsay economics · Gainsay ope'!M43&gt;'Gainsay drivers · Gainsay fixed'!B13,IF(OR('Gainsay economics · Gainsay ope'!M43="",'Gainsay drivers · Gainsay fixed'!B13=""),"",'Gainsay economics · Gainsay ope'!M43&gt;'Gainsay drivers · Gainsay fixed'!B13))),1,0)</f>
        <v>1</v>
      </c>
      <c r="N45" s="10" t="n">
        <f aca="false">IF(IF(IF(ISERROR('Gainsay economics · Gainsay ope'!N43&gt;'Gainsay drivers · Gainsay fixed'!B13),'Gainsay economics · Gainsay ope'!N43&gt;'Gainsay drivers · Gainsay fixed'!B13,IF(OR('Gainsay economics · Gainsay ope'!N43="",'Gainsay drivers · Gainsay fixed'!B13=""),"",'Gainsay economics · Gainsay ope'!N43&gt;'Gainsay drivers · Gainsay fixed'!B13))="",FALSE(),IF(ISERROR('Gainsay economics · Gainsay ope'!N43&gt;'Gainsay drivers · Gainsay fixed'!B13),'Gainsay economics · Gainsay ope'!N43&gt;'Gainsay drivers · Gainsay fixed'!B13,IF(OR('Gainsay economics · Gainsay ope'!N43="",'Gainsay drivers · Gainsay fixed'!B13=""),"",'Gainsay economics · Gainsay ope'!N43&gt;'Gainsay drivers · Gainsay fixed'!B13))),1,0)</f>
        <v>1</v>
      </c>
      <c r="O45" s="10" t="n">
        <f aca="false">IF(IF(IF(ISERROR('Gainsay economics · Gainsay ope'!O43&gt;'Gainsay drivers · Gainsay fixed'!B13),'Gainsay economics · Gainsay ope'!O43&gt;'Gainsay drivers · Gainsay fixed'!B13,IF(OR('Gainsay economics · Gainsay ope'!O43="",'Gainsay drivers · Gainsay fixed'!B13=""),"",'Gainsay economics · Gainsay ope'!O43&gt;'Gainsay drivers · Gainsay fixed'!B13))="",FALSE(),IF(ISERROR('Gainsay economics · Gainsay ope'!O43&gt;'Gainsay drivers · Gainsay fixed'!B13),'Gainsay economics · Gainsay ope'!O43&gt;'Gainsay drivers · Gainsay fixed'!B13,IF(OR('Gainsay economics · Gainsay ope'!O43="",'Gainsay drivers · Gainsay fixed'!B13=""),"",'Gainsay economics · Gainsay ope'!O43&gt;'Gainsay drivers · Gainsay fixed'!B13))),1,0)</f>
        <v>1</v>
      </c>
      <c r="P45" s="10" t="n">
        <f aca="false">IF(IF(IF(ISERROR('Gainsay economics · Gainsay ope'!P43&gt;'Gainsay drivers · Gainsay fixed'!B13),'Gainsay economics · Gainsay ope'!P43&gt;'Gainsay drivers · Gainsay fixed'!B13,IF(OR('Gainsay economics · Gainsay ope'!P43="",'Gainsay drivers · Gainsay fixed'!B13=""),"",'Gainsay economics · Gainsay ope'!P43&gt;'Gainsay drivers · Gainsay fixed'!B13))="",FALSE(),IF(ISERROR('Gainsay economics · Gainsay ope'!P43&gt;'Gainsay drivers · Gainsay fixed'!B13),'Gainsay economics · Gainsay ope'!P43&gt;'Gainsay drivers · Gainsay fixed'!B13,IF(OR('Gainsay economics · Gainsay ope'!P43="",'Gainsay drivers · Gainsay fixed'!B13=""),"",'Gainsay economics · Gainsay ope'!P43&gt;'Gainsay drivers · Gainsay fixed'!B13))),1,0)</f>
        <v>1</v>
      </c>
    </row>
    <row r="46" customFormat="false" ht="18" hidden="false" customHeight="false" outlineLevel="0" collapsed="false">
      <c r="A46" s="9" t="s">
        <v>180</v>
      </c>
      <c r="B46" s="10" t="n">
        <f aca="false">IF(IF(IF(ISERROR('Gainsay economics · Gainsay ope'!B44&gt;'Gainsay drivers · Gainsay fixed'!B13),'Gainsay economics · Gainsay ope'!B44&gt;'Gainsay drivers · Gainsay fixed'!B13,IF(OR('Gainsay economics · Gainsay ope'!B44="",'Gainsay drivers · Gainsay fixed'!B13=""),"",'Gainsay economics · Gainsay ope'!B44&gt;'Gainsay drivers · Gainsay fixed'!B13))="",FALSE(),IF(ISERROR('Gainsay economics · Gainsay ope'!B44&gt;'Gainsay drivers · Gainsay fixed'!B13),'Gainsay economics · Gainsay ope'!B44&gt;'Gainsay drivers · Gainsay fixed'!B13,IF(OR('Gainsay economics · Gainsay ope'!B44="",'Gainsay drivers · Gainsay fixed'!B13=""),"",'Gainsay economics · Gainsay ope'!B44&gt;'Gainsay drivers · Gainsay fixed'!B13))),1,0)</f>
        <v>0</v>
      </c>
      <c r="C46" s="10" t="n">
        <f aca="false">IF(IF(IF(ISERROR('Gainsay economics · Gainsay ope'!C44&gt;'Gainsay drivers · Gainsay fixed'!B13),'Gainsay economics · Gainsay ope'!C44&gt;'Gainsay drivers · Gainsay fixed'!B13,IF(OR('Gainsay economics · Gainsay ope'!C44="",'Gainsay drivers · Gainsay fixed'!B13=""),"",'Gainsay economics · Gainsay ope'!C44&gt;'Gainsay drivers · Gainsay fixed'!B13))="",FALSE(),IF(ISERROR('Gainsay economics · Gainsay ope'!C44&gt;'Gainsay drivers · Gainsay fixed'!B13),'Gainsay economics · Gainsay ope'!C44&gt;'Gainsay drivers · Gainsay fixed'!B13,IF(OR('Gainsay economics · Gainsay ope'!C44="",'Gainsay drivers · Gainsay fixed'!B13=""),"",'Gainsay economics · Gainsay ope'!C44&gt;'Gainsay drivers · Gainsay fixed'!B13))),1,0)</f>
        <v>0</v>
      </c>
      <c r="D46" s="10" t="n">
        <f aca="false">IF(IF(IF(ISERROR('Gainsay economics · Gainsay ope'!D44&gt;'Gainsay drivers · Gainsay fixed'!B13),'Gainsay economics · Gainsay ope'!D44&gt;'Gainsay drivers · Gainsay fixed'!B13,IF(OR('Gainsay economics · Gainsay ope'!D44="",'Gainsay drivers · Gainsay fixed'!B13=""),"",'Gainsay economics · Gainsay ope'!D44&gt;'Gainsay drivers · Gainsay fixed'!B13))="",FALSE(),IF(ISERROR('Gainsay economics · Gainsay ope'!D44&gt;'Gainsay drivers · Gainsay fixed'!B13),'Gainsay economics · Gainsay ope'!D44&gt;'Gainsay drivers · Gainsay fixed'!B13,IF(OR('Gainsay economics · Gainsay ope'!D44="",'Gainsay drivers · Gainsay fixed'!B13=""),"",'Gainsay economics · Gainsay ope'!D44&gt;'Gainsay drivers · Gainsay fixed'!B13))),1,0)</f>
        <v>0</v>
      </c>
      <c r="E46" s="10" t="n">
        <f aca="false">IF(IF(IF(ISERROR('Gainsay economics · Gainsay ope'!E44&gt;'Gainsay drivers · Gainsay fixed'!B13),'Gainsay economics · Gainsay ope'!E44&gt;'Gainsay drivers · Gainsay fixed'!B13,IF(OR('Gainsay economics · Gainsay ope'!E44="",'Gainsay drivers · Gainsay fixed'!B13=""),"",'Gainsay economics · Gainsay ope'!E44&gt;'Gainsay drivers · Gainsay fixed'!B13))="",FALSE(),IF(ISERROR('Gainsay economics · Gainsay ope'!E44&gt;'Gainsay drivers · Gainsay fixed'!B13),'Gainsay economics · Gainsay ope'!E44&gt;'Gainsay drivers · Gainsay fixed'!B13,IF(OR('Gainsay economics · Gainsay ope'!E44="",'Gainsay drivers · Gainsay fixed'!B13=""),"",'Gainsay economics · Gainsay ope'!E44&gt;'Gainsay drivers · Gainsay fixed'!B13))),1,0)</f>
        <v>0</v>
      </c>
      <c r="F46" s="10" t="n">
        <f aca="false">IF(IF(IF(ISERROR('Gainsay economics · Gainsay ope'!F44&gt;'Gainsay drivers · Gainsay fixed'!B13),'Gainsay economics · Gainsay ope'!F44&gt;'Gainsay drivers · Gainsay fixed'!B13,IF(OR('Gainsay economics · Gainsay ope'!F44="",'Gainsay drivers · Gainsay fixed'!B13=""),"",'Gainsay economics · Gainsay ope'!F44&gt;'Gainsay drivers · Gainsay fixed'!B13))="",FALSE(),IF(ISERROR('Gainsay economics · Gainsay ope'!F44&gt;'Gainsay drivers · Gainsay fixed'!B13),'Gainsay economics · Gainsay ope'!F44&gt;'Gainsay drivers · Gainsay fixed'!B13,IF(OR('Gainsay economics · Gainsay ope'!F44="",'Gainsay drivers · Gainsay fixed'!B13=""),"",'Gainsay economics · Gainsay ope'!F44&gt;'Gainsay drivers · Gainsay fixed'!B13))),1,0)</f>
        <v>0</v>
      </c>
      <c r="G46" s="10" t="n">
        <f aca="false">IF(IF(IF(ISERROR('Gainsay economics · Gainsay ope'!G44&gt;'Gainsay drivers · Gainsay fixed'!B13),'Gainsay economics · Gainsay ope'!G44&gt;'Gainsay drivers · Gainsay fixed'!B13,IF(OR('Gainsay economics · Gainsay ope'!G44="",'Gainsay drivers · Gainsay fixed'!B13=""),"",'Gainsay economics · Gainsay ope'!G44&gt;'Gainsay drivers · Gainsay fixed'!B13))="",FALSE(),IF(ISERROR('Gainsay economics · Gainsay ope'!G44&gt;'Gainsay drivers · Gainsay fixed'!B13),'Gainsay economics · Gainsay ope'!G44&gt;'Gainsay drivers · Gainsay fixed'!B13,IF(OR('Gainsay economics · Gainsay ope'!G44="",'Gainsay drivers · Gainsay fixed'!B13=""),"",'Gainsay economics · Gainsay ope'!G44&gt;'Gainsay drivers · Gainsay fixed'!B13))),1,0)</f>
        <v>0</v>
      </c>
      <c r="H46" s="10" t="n">
        <f aca="false">IF(IF(IF(ISERROR('Gainsay economics · Gainsay ope'!H44&gt;'Gainsay drivers · Gainsay fixed'!B13),'Gainsay economics · Gainsay ope'!H44&gt;'Gainsay drivers · Gainsay fixed'!B13,IF(OR('Gainsay economics · Gainsay ope'!H44="",'Gainsay drivers · Gainsay fixed'!B13=""),"",'Gainsay economics · Gainsay ope'!H44&gt;'Gainsay drivers · Gainsay fixed'!B13))="",FALSE(),IF(ISERROR('Gainsay economics · Gainsay ope'!H44&gt;'Gainsay drivers · Gainsay fixed'!B13),'Gainsay economics · Gainsay ope'!H44&gt;'Gainsay drivers · Gainsay fixed'!B13,IF(OR('Gainsay economics · Gainsay ope'!H44="",'Gainsay drivers · Gainsay fixed'!B13=""),"",'Gainsay economics · Gainsay ope'!H44&gt;'Gainsay drivers · Gainsay fixed'!B13))),1,0)</f>
        <v>0</v>
      </c>
      <c r="I46" s="10" t="n">
        <f aca="false">IF(IF(IF(ISERROR('Gainsay economics · Gainsay ope'!I44&gt;'Gainsay drivers · Gainsay fixed'!B13),'Gainsay economics · Gainsay ope'!I44&gt;'Gainsay drivers · Gainsay fixed'!B13,IF(OR('Gainsay economics · Gainsay ope'!I44="",'Gainsay drivers · Gainsay fixed'!B13=""),"",'Gainsay economics · Gainsay ope'!I44&gt;'Gainsay drivers · Gainsay fixed'!B13))="",FALSE(),IF(ISERROR('Gainsay economics · Gainsay ope'!I44&gt;'Gainsay drivers · Gainsay fixed'!B13),'Gainsay economics · Gainsay ope'!I44&gt;'Gainsay drivers · Gainsay fixed'!B13,IF(OR('Gainsay economics · Gainsay ope'!I44="",'Gainsay drivers · Gainsay fixed'!B13=""),"",'Gainsay economics · Gainsay ope'!I44&gt;'Gainsay drivers · Gainsay fixed'!B13))),1,0)</f>
        <v>0</v>
      </c>
      <c r="J46" s="10" t="n">
        <f aca="false">IF(IF(IF(ISERROR('Gainsay economics · Gainsay ope'!J44&gt;'Gainsay drivers · Gainsay fixed'!B13),'Gainsay economics · Gainsay ope'!J44&gt;'Gainsay drivers · Gainsay fixed'!B13,IF(OR('Gainsay economics · Gainsay ope'!J44="",'Gainsay drivers · Gainsay fixed'!B13=""),"",'Gainsay economics · Gainsay ope'!J44&gt;'Gainsay drivers · Gainsay fixed'!B13))="",FALSE(),IF(ISERROR('Gainsay economics · Gainsay ope'!J44&gt;'Gainsay drivers · Gainsay fixed'!B13),'Gainsay economics · Gainsay ope'!J44&gt;'Gainsay drivers · Gainsay fixed'!B13,IF(OR('Gainsay economics · Gainsay ope'!J44="",'Gainsay drivers · Gainsay fixed'!B13=""),"",'Gainsay economics · Gainsay ope'!J44&gt;'Gainsay drivers · Gainsay fixed'!B13))),1,0)</f>
        <v>0</v>
      </c>
      <c r="K46" s="10" t="n">
        <f aca="false">IF(IF(IF(ISERROR('Gainsay economics · Gainsay ope'!K44&gt;'Gainsay drivers · Gainsay fixed'!B13),'Gainsay economics · Gainsay ope'!K44&gt;'Gainsay drivers · Gainsay fixed'!B13,IF(OR('Gainsay economics · Gainsay ope'!K44="",'Gainsay drivers · Gainsay fixed'!B13=""),"",'Gainsay economics · Gainsay ope'!K44&gt;'Gainsay drivers · Gainsay fixed'!B13))="",FALSE(),IF(ISERROR('Gainsay economics · Gainsay ope'!K44&gt;'Gainsay drivers · Gainsay fixed'!B13),'Gainsay economics · Gainsay ope'!K44&gt;'Gainsay drivers · Gainsay fixed'!B13,IF(OR('Gainsay economics · Gainsay ope'!K44="",'Gainsay drivers · Gainsay fixed'!B13=""),"",'Gainsay economics · Gainsay ope'!K44&gt;'Gainsay drivers · Gainsay fixed'!B13))),1,0)</f>
        <v>1</v>
      </c>
      <c r="L46" s="10" t="n">
        <f aca="false">IF(IF(IF(ISERROR('Gainsay economics · Gainsay ope'!L44&gt;'Gainsay drivers · Gainsay fixed'!B13),'Gainsay economics · Gainsay ope'!L44&gt;'Gainsay drivers · Gainsay fixed'!B13,IF(OR('Gainsay economics · Gainsay ope'!L44="",'Gainsay drivers · Gainsay fixed'!B13=""),"",'Gainsay economics · Gainsay ope'!L44&gt;'Gainsay drivers · Gainsay fixed'!B13))="",FALSE(),IF(ISERROR('Gainsay economics · Gainsay ope'!L44&gt;'Gainsay drivers · Gainsay fixed'!B13),'Gainsay economics · Gainsay ope'!L44&gt;'Gainsay drivers · Gainsay fixed'!B13,IF(OR('Gainsay economics · Gainsay ope'!L44="",'Gainsay drivers · Gainsay fixed'!B13=""),"",'Gainsay economics · Gainsay ope'!L44&gt;'Gainsay drivers · Gainsay fixed'!B13))),1,0)</f>
        <v>1</v>
      </c>
      <c r="M46" s="10" t="n">
        <f aca="false">IF(IF(IF(ISERROR('Gainsay economics · Gainsay ope'!M44&gt;'Gainsay drivers · Gainsay fixed'!B13),'Gainsay economics · Gainsay ope'!M44&gt;'Gainsay drivers · Gainsay fixed'!B13,IF(OR('Gainsay economics · Gainsay ope'!M44="",'Gainsay drivers · Gainsay fixed'!B13=""),"",'Gainsay economics · Gainsay ope'!M44&gt;'Gainsay drivers · Gainsay fixed'!B13))="",FALSE(),IF(ISERROR('Gainsay economics · Gainsay ope'!M44&gt;'Gainsay drivers · Gainsay fixed'!B13),'Gainsay economics · Gainsay ope'!M44&gt;'Gainsay drivers · Gainsay fixed'!B13,IF(OR('Gainsay economics · Gainsay ope'!M44="",'Gainsay drivers · Gainsay fixed'!B13=""),"",'Gainsay economics · Gainsay ope'!M44&gt;'Gainsay drivers · Gainsay fixed'!B13))),1,0)</f>
        <v>1</v>
      </c>
      <c r="N46" s="10" t="n">
        <f aca="false">IF(IF(IF(ISERROR('Gainsay economics · Gainsay ope'!N44&gt;'Gainsay drivers · Gainsay fixed'!B13),'Gainsay economics · Gainsay ope'!N44&gt;'Gainsay drivers · Gainsay fixed'!B13,IF(OR('Gainsay economics · Gainsay ope'!N44="",'Gainsay drivers · Gainsay fixed'!B13=""),"",'Gainsay economics · Gainsay ope'!N44&gt;'Gainsay drivers · Gainsay fixed'!B13))="",FALSE(),IF(ISERROR('Gainsay economics · Gainsay ope'!N44&gt;'Gainsay drivers · Gainsay fixed'!B13),'Gainsay economics · Gainsay ope'!N44&gt;'Gainsay drivers · Gainsay fixed'!B13,IF(OR('Gainsay economics · Gainsay ope'!N44="",'Gainsay drivers · Gainsay fixed'!B13=""),"",'Gainsay economics · Gainsay ope'!N44&gt;'Gainsay drivers · Gainsay fixed'!B13))),1,0)</f>
        <v>1</v>
      </c>
      <c r="O46" s="10" t="n">
        <f aca="false">IF(IF(IF(ISERROR('Gainsay economics · Gainsay ope'!O44&gt;'Gainsay drivers · Gainsay fixed'!B13),'Gainsay economics · Gainsay ope'!O44&gt;'Gainsay drivers · Gainsay fixed'!B13,IF(OR('Gainsay economics · Gainsay ope'!O44="",'Gainsay drivers · Gainsay fixed'!B13=""),"",'Gainsay economics · Gainsay ope'!O44&gt;'Gainsay drivers · Gainsay fixed'!B13))="",FALSE(),IF(ISERROR('Gainsay economics · Gainsay ope'!O44&gt;'Gainsay drivers · Gainsay fixed'!B13),'Gainsay economics · Gainsay ope'!O44&gt;'Gainsay drivers · Gainsay fixed'!B13,IF(OR('Gainsay economics · Gainsay ope'!O44="",'Gainsay drivers · Gainsay fixed'!B13=""),"",'Gainsay economics · Gainsay ope'!O44&gt;'Gainsay drivers · Gainsay fixed'!B13))),1,0)</f>
        <v>1</v>
      </c>
      <c r="P46" s="10" t="n">
        <f aca="false">IF(IF(IF(ISERROR('Gainsay economics · Gainsay ope'!P44&gt;'Gainsay drivers · Gainsay fixed'!B13),'Gainsay economics · Gainsay ope'!P44&gt;'Gainsay drivers · Gainsay fixed'!B13,IF(OR('Gainsay economics · Gainsay ope'!P44="",'Gainsay drivers · Gainsay fixed'!B13=""),"",'Gainsay economics · Gainsay ope'!P44&gt;'Gainsay drivers · Gainsay fixed'!B13))="",FALSE(),IF(ISERROR('Gainsay economics · Gainsay ope'!P44&gt;'Gainsay drivers · Gainsay fixed'!B13),'Gainsay economics · Gainsay ope'!P44&gt;'Gainsay drivers · Gainsay fixed'!B13,IF(OR('Gainsay economics · Gainsay ope'!P44="",'Gainsay drivers · Gainsay fixed'!B13=""),"",'Gainsay economics · Gainsay ope'!P44&gt;'Gainsay drivers · Gainsay fixed'!B13))),1,0)</f>
        <v>1</v>
      </c>
    </row>
    <row r="47" customFormat="false" ht="18" hidden="false" customHeight="false" outlineLevel="0" collapsed="false">
      <c r="A47" s="9" t="s">
        <v>181</v>
      </c>
      <c r="B47" s="10" t="n">
        <f aca="false">IF(IF(IF(IFERROR(IF(ISERROR('Model inputs'!J143&gt;0),'Model inputs'!J143&gt;0,IF('Model inputs'!J143="","",'Model inputs'!J143&gt;0))=TRUE(),FALSE()),TRUE(),IF(IFERROR('Model inputs'!B497=TRUE(),FALSE()),TRUE(),IF(OR(IF(ISERROR('Model inputs'!J143&gt;0),'Model inputs'!J143&gt;0,IF('Model inputs'!J143="","",'Model inputs'!J143&gt;0))="",'Model inputs'!B497=""),"",OR(IF(ISERROR('Model inputs'!J143&gt;0),'Model inputs'!J143&gt;0,IF('Model inputs'!J143="","",'Model inputs'!J143&gt;0)),'Model inputs'!B497))))="",FALSE(),IF(IFERROR(IF(ISERROR('Model inputs'!J143&gt;0),'Model inputs'!J143&gt;0,IF('Model inputs'!J143="","",'Model inputs'!J143&gt;0))=TRUE(),FALSE()),TRUE(),IF(IFERROR('Model inputs'!B497=TRUE(),FALSE()),TRUE(),IF(OR(IF(ISERROR('Model inputs'!J143&gt;0),'Model inputs'!J143&gt;0,IF('Model inputs'!J143="","",'Model inputs'!J143&gt;0))="",'Model inputs'!B497=""),"",OR(IF(ISERROR('Model inputs'!J143&gt;0),'Model inputs'!J143&gt;0,IF('Model inputs'!J143="","",'Model inputs'!J143&gt;0)),'Model inputs'!B497))))),1,0)</f>
        <v>0</v>
      </c>
      <c r="C47" s="10" t="n">
        <f aca="false">IF(IF(IF(IFERROR('Model inputs'!B1036=TRUE(),FALSE()),TRUE(),IF(IFERROR('Model inputs'!B499=TRUE(),FALSE()),TRUE(),IF(OR('Model inputs'!B1036="",'Model inputs'!B499=""),"",OR('Model inputs'!B1036,'Model inputs'!B499))))="",FALSE(),IF(IFERROR('Model inputs'!B1036=TRUE(),FALSE()),TRUE(),IF(IFERROR('Model inputs'!B499=TRUE(),FALSE()),TRUE(),IF(OR('Model inputs'!B1036="",'Model inputs'!B499=""),"",OR('Model inputs'!B1036,'Model inputs'!B499))))),1,0)</f>
        <v>0</v>
      </c>
      <c r="D47" s="10" t="n">
        <f aca="false">IF(IF(IF(IFERROR('Model inputs'!B1037=TRUE(),FALSE()),TRUE(),IF(IFERROR('Model inputs'!B501=TRUE(),FALSE()),TRUE(),IF(OR('Model inputs'!B1037="",'Model inputs'!B501=""),"",OR('Model inputs'!B1037,'Model inputs'!B501))))="",FALSE(),IF(IFERROR('Model inputs'!B1037=TRUE(),FALSE()),TRUE(),IF(IFERROR('Model inputs'!B501=TRUE(),FALSE()),TRUE(),IF(OR('Model inputs'!B1037="",'Model inputs'!B501=""),"",OR('Model inputs'!B1037,'Model inputs'!B501))))),1,0)</f>
        <v>0</v>
      </c>
      <c r="E47" s="10" t="n">
        <f aca="false">IF(IF(IF(IFERROR('Model inputs'!B1038=TRUE(),FALSE()),TRUE(),IF(IFERROR('Model inputs'!B503=TRUE(),FALSE()),TRUE(),IF(OR('Model inputs'!B1038="",'Model inputs'!B503=""),"",OR('Model inputs'!B1038,'Model inputs'!B503))))="",FALSE(),IF(IFERROR('Model inputs'!B1038=TRUE(),FALSE()),TRUE(),IF(IFERROR('Model inputs'!B503=TRUE(),FALSE()),TRUE(),IF(OR('Model inputs'!B1038="",'Model inputs'!B503=""),"",OR('Model inputs'!B1038,'Model inputs'!B503))))),1,0)</f>
        <v>1</v>
      </c>
      <c r="F47" s="10" t="n">
        <f aca="false">IF(IF(IF(IFERROR('Model inputs'!B1039=TRUE(),FALSE()),TRUE(),IF(IFERROR('Model inputs'!B505=TRUE(),FALSE()),TRUE(),IF(OR('Model inputs'!B1039="",'Model inputs'!B505=""),"",OR('Model inputs'!B1039,'Model inputs'!B505))))="",FALSE(),IF(IFERROR('Model inputs'!B1039=TRUE(),FALSE()),TRUE(),IF(IFERROR('Model inputs'!B505=TRUE(),FALSE()),TRUE(),IF(OR('Model inputs'!B1039="",'Model inputs'!B505=""),"",OR('Model inputs'!B1039,'Model inputs'!B505))))),1,0)</f>
        <v>1</v>
      </c>
      <c r="G47" s="10" t="n">
        <f aca="false">IF(IF(IF(IFERROR('Model inputs'!B1040=TRUE(),FALSE()),TRUE(),IF(IFERROR('Model inputs'!B507=TRUE(),FALSE()),TRUE(),IF(OR('Model inputs'!B1040="",'Model inputs'!B507=""),"",OR('Model inputs'!B1040,'Model inputs'!B507))))="",FALSE(),IF(IFERROR('Model inputs'!B1040=TRUE(),FALSE()),TRUE(),IF(IFERROR('Model inputs'!B507=TRUE(),FALSE()),TRUE(),IF(OR('Model inputs'!B1040="",'Model inputs'!B507=""),"",OR('Model inputs'!B1040,'Model inputs'!B507))))),1,0)</f>
        <v>1</v>
      </c>
      <c r="H47" s="10" t="n">
        <f aca="false">IF(IF(IF(IFERROR('Model inputs'!B1041=TRUE(),FALSE()),TRUE(),IF(IFERROR('Model inputs'!B509=TRUE(),FALSE()),TRUE(),IF(OR('Model inputs'!B1041="",'Model inputs'!B509=""),"",OR('Model inputs'!B1041,'Model inputs'!B509))))="",FALSE(),IF(IFERROR('Model inputs'!B1041=TRUE(),FALSE()),TRUE(),IF(IFERROR('Model inputs'!B509=TRUE(),FALSE()),TRUE(),IF(OR('Model inputs'!B1041="",'Model inputs'!B509=""),"",OR('Model inputs'!B1041,'Model inputs'!B509))))),1,0)</f>
        <v>1</v>
      </c>
      <c r="I47" s="10" t="n">
        <f aca="false">IF(IF(IF(IFERROR('Model inputs'!B1042=TRUE(),FALSE()),TRUE(),IF(IFERROR('Model inputs'!B511=TRUE(),FALSE()),TRUE(),IF(OR('Model inputs'!B1042="",'Model inputs'!B511=""),"",OR('Model inputs'!B1042,'Model inputs'!B511))))="",FALSE(),IF(IFERROR('Model inputs'!B1042=TRUE(),FALSE()),TRUE(),IF(IFERROR('Model inputs'!B511=TRUE(),FALSE()),TRUE(),IF(OR('Model inputs'!B1042="",'Model inputs'!B511=""),"",OR('Model inputs'!B1042,'Model inputs'!B511))))),1,0)</f>
        <v>1</v>
      </c>
      <c r="J47" s="10" t="n">
        <f aca="false">IF(IF(IF(IFERROR('Model inputs'!B1043=TRUE(),FALSE()),TRUE(),IF(IFERROR('Model inputs'!B513=TRUE(),FALSE()),TRUE(),IF(OR('Model inputs'!B1043="",'Model inputs'!B513=""),"",OR('Model inputs'!B1043,'Model inputs'!B513))))="",FALSE(),IF(IFERROR('Model inputs'!B1043=TRUE(),FALSE()),TRUE(),IF(IFERROR('Model inputs'!B513=TRUE(),FALSE()),TRUE(),IF(OR('Model inputs'!B1043="",'Model inputs'!B513=""),"",OR('Model inputs'!B1043,'Model inputs'!B513))))),1,0)</f>
        <v>1</v>
      </c>
      <c r="K47" s="10" t="n">
        <f aca="false">IF(IF(IF(IFERROR('Model inputs'!B1044=TRUE(),FALSE()),TRUE(),IF(IFERROR('Model inputs'!B515=TRUE(),FALSE()),TRUE(),IF(OR('Model inputs'!B1044="",'Model inputs'!B515=""),"",OR('Model inputs'!B1044,'Model inputs'!B515))))="",FALSE(),IF(IFERROR('Model inputs'!B1044=TRUE(),FALSE()),TRUE(),IF(IFERROR('Model inputs'!B515=TRUE(),FALSE()),TRUE(),IF(OR('Model inputs'!B1044="",'Model inputs'!B515=""),"",OR('Model inputs'!B1044,'Model inputs'!B515))))),1,0)</f>
        <v>1</v>
      </c>
      <c r="L47" s="10" t="n">
        <f aca="false">IF(IF(IF(IFERROR('Model inputs'!B1045=TRUE(),FALSE()),TRUE(),IF(IFERROR('Model inputs'!B517=TRUE(),FALSE()),TRUE(),IF(OR('Model inputs'!B1045="",'Model inputs'!B517=""),"",OR('Model inputs'!B1045,'Model inputs'!B517))))="",FALSE(),IF(IFERROR('Model inputs'!B1045=TRUE(),FALSE()),TRUE(),IF(IFERROR('Model inputs'!B517=TRUE(),FALSE()),TRUE(),IF(OR('Model inputs'!B1045="",'Model inputs'!B517=""),"",OR('Model inputs'!B1045,'Model inputs'!B517))))),1,0)</f>
        <v>1</v>
      </c>
      <c r="M47" s="10" t="n">
        <f aca="false">IF(IF(IF(IFERROR('Model inputs'!B1046=TRUE(),FALSE()),TRUE(),IF(IFERROR('Model inputs'!B519=TRUE(),FALSE()),TRUE(),IF(OR('Model inputs'!B1046="",'Model inputs'!B519=""),"",OR('Model inputs'!B1046,'Model inputs'!B519))))="",FALSE(),IF(IFERROR('Model inputs'!B1046=TRUE(),FALSE()),TRUE(),IF(IFERROR('Model inputs'!B519=TRUE(),FALSE()),TRUE(),IF(OR('Model inputs'!B1046="",'Model inputs'!B519=""),"",OR('Model inputs'!B1046,'Model inputs'!B519))))),1,0)</f>
        <v>1</v>
      </c>
      <c r="N47" s="10" t="n">
        <f aca="false">IF(IF(IF(IFERROR('Model inputs'!B1047=TRUE(),FALSE()),TRUE(),IF(IFERROR('Model inputs'!B521=TRUE(),FALSE()),TRUE(),IF(OR('Model inputs'!B1047="",'Model inputs'!B521=""),"",OR('Model inputs'!B1047,'Model inputs'!B521))))="",FALSE(),IF(IFERROR('Model inputs'!B1047=TRUE(),FALSE()),TRUE(),IF(IFERROR('Model inputs'!B521=TRUE(),FALSE()),TRUE(),IF(OR('Model inputs'!B1047="",'Model inputs'!B521=""),"",OR('Model inputs'!B1047,'Model inputs'!B521))))),1,0)</f>
        <v>1</v>
      </c>
      <c r="O47" s="10" t="n">
        <f aca="false">IF(IF(IF(IFERROR('Model inputs'!B1048=TRUE(),FALSE()),TRUE(),IF(IFERROR('Model inputs'!B523=TRUE(),FALSE()),TRUE(),IF(OR('Model inputs'!B1048="",'Model inputs'!B523=""),"",OR('Model inputs'!B1048,'Model inputs'!B523))))="",FALSE(),IF(IFERROR('Model inputs'!B1048=TRUE(),FALSE()),TRUE(),IF(IFERROR('Model inputs'!B523=TRUE(),FALSE()),TRUE(),IF(OR('Model inputs'!B1048="",'Model inputs'!B523=""),"",OR('Model inputs'!B1048,'Model inputs'!B523))))),1,0)</f>
        <v>1</v>
      </c>
      <c r="P47" s="10" t="n">
        <f aca="false">IF(IF(IF(IFERROR('Model inputs'!B1049=TRUE(),FALSE()),TRUE(),IF(IFERROR('Model inputs'!B525=TRUE(),FALSE()),TRUE(),IF(OR('Model inputs'!B1049="",'Model inputs'!B525=""),"",OR('Model inputs'!B1049,'Model inputs'!B525))))="",FALSE(),IF(IFERROR('Model inputs'!B1049=TRUE(),FALSE()),TRUE(),IF(IFERROR('Model inputs'!B525=TRUE(),FALSE()),TRUE(),IF(OR('Model inputs'!B1049="",'Model inputs'!B525=""),"",OR('Model inputs'!B1049,'Model inputs'!B525))))),1,0)</f>
        <v>1</v>
      </c>
    </row>
    <row r="48" customFormat="false" ht="18" hidden="false" customHeight="false" outlineLevel="0" collapsed="false">
      <c r="A48" s="9" t="s">
        <v>182</v>
      </c>
      <c r="B48" s="10" t="n">
        <f aca="false">IF(IF(IF(IFERROR(IF(ISERROR('Model inputs'!J98&gt;0),'Model inputs'!J98&gt;0,IF('Model inputs'!J98="","",'Model inputs'!J98&gt;0))=TRUE(),FALSE()),TRUE(),IF(IFERROR('Model inputs'!B561=TRUE(),FALSE()),TRUE(),IF(OR(IF(ISERROR('Model inputs'!J98&gt;0),'Model inputs'!J98&gt;0,IF('Model inputs'!J98="","",'Model inputs'!J98&gt;0))="",'Model inputs'!B561=""),"",OR(IF(ISERROR('Model inputs'!J98&gt;0),'Model inputs'!J98&gt;0,IF('Model inputs'!J98="","",'Model inputs'!J98&gt;0)),'Model inputs'!B561))))="",FALSE(),IF(IFERROR(IF(ISERROR('Model inputs'!J98&gt;0),'Model inputs'!J98&gt;0,IF('Model inputs'!J98="","",'Model inputs'!J98&gt;0))=TRUE(),FALSE()),TRUE(),IF(IFERROR('Model inputs'!B561=TRUE(),FALSE()),TRUE(),IF(OR(IF(ISERROR('Model inputs'!J98&gt;0),'Model inputs'!J98&gt;0,IF('Model inputs'!J98="","",'Model inputs'!J98&gt;0))="",'Model inputs'!B561=""),"",OR(IF(ISERROR('Model inputs'!J98&gt;0),'Model inputs'!J98&gt;0,IF('Model inputs'!J98="","",'Model inputs'!J98&gt;0)),'Model inputs'!B561))))),1,0)</f>
        <v>0</v>
      </c>
      <c r="C48" s="10" t="n">
        <f aca="false">IF(IF(IF(IFERROR('Model inputs'!B1050=TRUE(),FALSE()),TRUE(),IF(IFERROR('Model inputs'!B563=TRUE(),FALSE()),TRUE(),IF(OR('Model inputs'!B1050="",'Model inputs'!B563=""),"",OR('Model inputs'!B1050,'Model inputs'!B563))))="",FALSE(),IF(IFERROR('Model inputs'!B1050=TRUE(),FALSE()),TRUE(),IF(IFERROR('Model inputs'!B563=TRUE(),FALSE()),TRUE(),IF(OR('Model inputs'!B1050="",'Model inputs'!B563=""),"",OR('Model inputs'!B1050,'Model inputs'!B563))))),1,0)</f>
        <v>0</v>
      </c>
      <c r="D48" s="10" t="n">
        <f aca="false">IF(IF(IF(IFERROR('Model inputs'!B1051=TRUE(),FALSE()),TRUE(),IF(IFERROR('Model inputs'!B565=TRUE(),FALSE()),TRUE(),IF(OR('Model inputs'!B1051="",'Model inputs'!B565=""),"",OR('Model inputs'!B1051,'Model inputs'!B565))))="",FALSE(),IF(IFERROR('Model inputs'!B1051=TRUE(),FALSE()),TRUE(),IF(IFERROR('Model inputs'!B565=TRUE(),FALSE()),TRUE(),IF(OR('Model inputs'!B1051="",'Model inputs'!B565=""),"",OR('Model inputs'!B1051,'Model inputs'!B565))))),1,0)</f>
        <v>0</v>
      </c>
      <c r="E48" s="10" t="n">
        <f aca="false">IF(IF(IF(IFERROR('Model inputs'!B1052=TRUE(),FALSE()),TRUE(),IF(IFERROR('Model inputs'!B567=TRUE(),FALSE()),TRUE(),IF(OR('Model inputs'!B1052="",'Model inputs'!B567=""),"",OR('Model inputs'!B1052,'Model inputs'!B567))))="",FALSE(),IF(IFERROR('Model inputs'!B1052=TRUE(),FALSE()),TRUE(),IF(IFERROR('Model inputs'!B567=TRUE(),FALSE()),TRUE(),IF(OR('Model inputs'!B1052="",'Model inputs'!B567=""),"",OR('Model inputs'!B1052,'Model inputs'!B567))))),1,0)</f>
        <v>0</v>
      </c>
      <c r="F48" s="10" t="n">
        <f aca="false">IF(IF(IF(IFERROR('Model inputs'!B1053=TRUE(),FALSE()),TRUE(),IF(IFERROR('Model inputs'!B569=TRUE(),FALSE()),TRUE(),IF(OR('Model inputs'!B1053="",'Model inputs'!B569=""),"",OR('Model inputs'!B1053,'Model inputs'!B569))))="",FALSE(),IF(IFERROR('Model inputs'!B1053=TRUE(),FALSE()),TRUE(),IF(IFERROR('Model inputs'!B569=TRUE(),FALSE()),TRUE(),IF(OR('Model inputs'!B1053="",'Model inputs'!B569=""),"",OR('Model inputs'!B1053,'Model inputs'!B569))))),1,0)</f>
        <v>0</v>
      </c>
      <c r="G48" s="10" t="n">
        <f aca="false">IF(IF(IF(IFERROR('Model inputs'!B1054=TRUE(),FALSE()),TRUE(),IF(IFERROR('Model inputs'!B571=TRUE(),FALSE()),TRUE(),IF(OR('Model inputs'!B1054="",'Model inputs'!B571=""),"",OR('Model inputs'!B1054,'Model inputs'!B571))))="",FALSE(),IF(IFERROR('Model inputs'!B1054=TRUE(),FALSE()),TRUE(),IF(IFERROR('Model inputs'!B571=TRUE(),FALSE()),TRUE(),IF(OR('Model inputs'!B1054="",'Model inputs'!B571=""),"",OR('Model inputs'!B1054,'Model inputs'!B571))))),1,0)</f>
        <v>0</v>
      </c>
      <c r="H48" s="10" t="n">
        <f aca="false">IF(IF(IF(IFERROR('Model inputs'!B1055=TRUE(),FALSE()),TRUE(),IF(IFERROR('Model inputs'!B573=TRUE(),FALSE()),TRUE(),IF(OR('Model inputs'!B1055="",'Model inputs'!B573=""),"",OR('Model inputs'!B1055,'Model inputs'!B573))))="",FALSE(),IF(IFERROR('Model inputs'!B1055=TRUE(),FALSE()),TRUE(),IF(IFERROR('Model inputs'!B573=TRUE(),FALSE()),TRUE(),IF(OR('Model inputs'!B1055="",'Model inputs'!B573=""),"",OR('Model inputs'!B1055,'Model inputs'!B573))))),1,0)</f>
        <v>0</v>
      </c>
      <c r="I48" s="10" t="n">
        <f aca="false">IF(IF(IF(IFERROR('Model inputs'!B1056=TRUE(),FALSE()),TRUE(),IF(IFERROR('Model inputs'!B575=TRUE(),FALSE()),TRUE(),IF(OR('Model inputs'!B1056="",'Model inputs'!B575=""),"",OR('Model inputs'!B1056,'Model inputs'!B575))))="",FALSE(),IF(IFERROR('Model inputs'!B1056=TRUE(),FALSE()),TRUE(),IF(IFERROR('Model inputs'!B575=TRUE(),FALSE()),TRUE(),IF(OR('Model inputs'!B1056="",'Model inputs'!B575=""),"",OR('Model inputs'!B1056,'Model inputs'!B575))))),1,0)</f>
        <v>0</v>
      </c>
      <c r="J48" s="10" t="n">
        <f aca="false">IF(IF(IF(IFERROR('Model inputs'!B1057=TRUE(),FALSE()),TRUE(),IF(IFERROR('Model inputs'!B577=TRUE(),FALSE()),TRUE(),IF(OR('Model inputs'!B1057="",'Model inputs'!B577=""),"",OR('Model inputs'!B1057,'Model inputs'!B577))))="",FALSE(),IF(IFERROR('Model inputs'!B1057=TRUE(),FALSE()),TRUE(),IF(IFERROR('Model inputs'!B577=TRUE(),FALSE()),TRUE(),IF(OR('Model inputs'!B1057="",'Model inputs'!B577=""),"",OR('Model inputs'!B1057,'Model inputs'!B577))))),1,0)</f>
        <v>0</v>
      </c>
      <c r="K48" s="10" t="n">
        <f aca="false">IF(IF(IF(IFERROR('Model inputs'!B1058=TRUE(),FALSE()),TRUE(),IF(IFERROR('Model inputs'!B579=TRUE(),FALSE()),TRUE(),IF(OR('Model inputs'!B1058="",'Model inputs'!B579=""),"",OR('Model inputs'!B1058,'Model inputs'!B579))))="",FALSE(),IF(IFERROR('Model inputs'!B1058=TRUE(),FALSE()),TRUE(),IF(IFERROR('Model inputs'!B579=TRUE(),FALSE()),TRUE(),IF(OR('Model inputs'!B1058="",'Model inputs'!B579=""),"",OR('Model inputs'!B1058,'Model inputs'!B579))))),1,0)</f>
        <v>1</v>
      </c>
      <c r="L48" s="10" t="n">
        <f aca="false">IF(IF(IF(IFERROR('Model inputs'!B1059=TRUE(),FALSE()),TRUE(),IF(IFERROR('Model inputs'!B581=TRUE(),FALSE()),TRUE(),IF(OR('Model inputs'!B1059="",'Model inputs'!B581=""),"",OR('Model inputs'!B1059,'Model inputs'!B581))))="",FALSE(),IF(IFERROR('Model inputs'!B1059=TRUE(),FALSE()),TRUE(),IF(IFERROR('Model inputs'!B581=TRUE(),FALSE()),TRUE(),IF(OR('Model inputs'!B1059="",'Model inputs'!B581=""),"",OR('Model inputs'!B1059,'Model inputs'!B581))))),1,0)</f>
        <v>1</v>
      </c>
      <c r="M48" s="10" t="n">
        <f aca="false">IF(IF(IF(IFERROR('Model inputs'!B1060=TRUE(),FALSE()),TRUE(),IF(IFERROR('Model inputs'!B583=TRUE(),FALSE()),TRUE(),IF(OR('Model inputs'!B1060="",'Model inputs'!B583=""),"",OR('Model inputs'!B1060,'Model inputs'!B583))))="",FALSE(),IF(IFERROR('Model inputs'!B1060=TRUE(),FALSE()),TRUE(),IF(IFERROR('Model inputs'!B583=TRUE(),FALSE()),TRUE(),IF(OR('Model inputs'!B1060="",'Model inputs'!B583=""),"",OR('Model inputs'!B1060,'Model inputs'!B583))))),1,0)</f>
        <v>1</v>
      </c>
      <c r="N48" s="10" t="n">
        <f aca="false">IF(IF(IF(IFERROR('Model inputs'!B1061=TRUE(),FALSE()),TRUE(),IF(IFERROR('Model inputs'!B585=TRUE(),FALSE()),TRUE(),IF(OR('Model inputs'!B1061="",'Model inputs'!B585=""),"",OR('Model inputs'!B1061,'Model inputs'!B585))))="",FALSE(),IF(IFERROR('Model inputs'!B1061=TRUE(),FALSE()),TRUE(),IF(IFERROR('Model inputs'!B585=TRUE(),FALSE()),TRUE(),IF(OR('Model inputs'!B1061="",'Model inputs'!B585=""),"",OR('Model inputs'!B1061,'Model inputs'!B585))))),1,0)</f>
        <v>1</v>
      </c>
      <c r="O48" s="10" t="n">
        <f aca="false">IF(IF(IF(IFERROR('Model inputs'!B1062=TRUE(),FALSE()),TRUE(),IF(IFERROR('Model inputs'!B587=TRUE(),FALSE()),TRUE(),IF(OR('Model inputs'!B1062="",'Model inputs'!B587=""),"",OR('Model inputs'!B1062,'Model inputs'!B587))))="",FALSE(),IF(IFERROR('Model inputs'!B1062=TRUE(),FALSE()),TRUE(),IF(IFERROR('Model inputs'!B587=TRUE(),FALSE()),TRUE(),IF(OR('Model inputs'!B1062="",'Model inputs'!B587=""),"",OR('Model inputs'!B1062,'Model inputs'!B587))))),1,0)</f>
        <v>1</v>
      </c>
      <c r="P48" s="10" t="n">
        <f aca="false">IF(IF(IF(IFERROR('Model inputs'!B1063=TRUE(),FALSE()),TRUE(),IF(IFERROR('Model inputs'!B589=TRUE(),FALSE()),TRUE(),IF(OR('Model inputs'!B1063="",'Model inputs'!B589=""),"",OR('Model inputs'!B1063,'Model inputs'!B589))))="",FALSE(),IF(IFERROR('Model inputs'!B1063=TRUE(),FALSE()),TRUE(),IF(IFERROR('Model inputs'!B589=TRUE(),FALSE()),TRUE(),IF(OR('Model inputs'!B1063="",'Model inputs'!B589=""),"",OR('Model inputs'!B1063,'Model inputs'!B589))))),1,0)</f>
        <v>1</v>
      </c>
    </row>
    <row r="49" customFormat="false" ht="18" hidden="false" customHeight="false" outlineLevel="0" collapsed="false">
      <c r="A49" s="9" t="s">
        <v>183</v>
      </c>
      <c r="B49" s="12" t="n">
        <f aca="false">'Gainsay economics · Gainsay ope'!B47*'Gainsay drivers · Gainsay fixed'!B30</f>
        <v>0</v>
      </c>
      <c r="C49" s="12" t="n">
        <f aca="false">'Gainsay economics · Gainsay ope'!C47*'Gainsay drivers · Gainsay fixed'!B30</f>
        <v>0</v>
      </c>
      <c r="D49" s="12" t="n">
        <f aca="false">'Gainsay economics · Gainsay ope'!D47*'Gainsay drivers · Gainsay fixed'!B30</f>
        <v>0</v>
      </c>
      <c r="E49" s="12" t="n">
        <f aca="false">'Gainsay economics · Gainsay ope'!E47*'Gainsay drivers · Gainsay fixed'!B30</f>
        <v>0</v>
      </c>
      <c r="F49" s="12" t="n">
        <f aca="false">'Gainsay economics · Gainsay ope'!F47*'Gainsay drivers · Gainsay fixed'!B30</f>
        <v>0</v>
      </c>
      <c r="G49" s="12" t="n">
        <f aca="false">'Gainsay economics · Gainsay ope'!G47*'Gainsay drivers · Gainsay fixed'!B30</f>
        <v>0</v>
      </c>
      <c r="H49" s="12" t="n">
        <f aca="false">'Gainsay economics · Gainsay ope'!H47*'Gainsay drivers · Gainsay fixed'!B30</f>
        <v>0</v>
      </c>
      <c r="I49" s="12" t="n">
        <f aca="false">'Gainsay economics · Gainsay ope'!I47*'Gainsay drivers · Gainsay fixed'!B30</f>
        <v>0</v>
      </c>
      <c r="J49" s="12" t="n">
        <f aca="false">'Gainsay economics · Gainsay ope'!J47*'Gainsay drivers · Gainsay fixed'!B30</f>
        <v>0</v>
      </c>
      <c r="K49" s="12" t="n">
        <f aca="false">'Gainsay economics · Gainsay ope'!K47*'Gainsay drivers · Gainsay fixed'!B30</f>
        <v>0</v>
      </c>
      <c r="L49" s="12" t="n">
        <f aca="false">'Gainsay economics · Gainsay ope'!L47*'Gainsay drivers · Gainsay fixed'!B30</f>
        <v>0</v>
      </c>
      <c r="M49" s="12" t="n">
        <f aca="false">'Gainsay economics · Gainsay ope'!M47*'Gainsay drivers · Gainsay fixed'!B30</f>
        <v>0</v>
      </c>
      <c r="N49" s="12" t="n">
        <f aca="false">'Gainsay economics · Gainsay ope'!N47*'Gainsay drivers · Gainsay fixed'!B30</f>
        <v>0</v>
      </c>
      <c r="O49" s="12" t="n">
        <f aca="false">'Gainsay economics · Gainsay ope'!O47*'Gainsay drivers · Gainsay fixed'!B30</f>
        <v>0</v>
      </c>
      <c r="P49" s="12" t="n">
        <f aca="false">'Gainsay economics · Gainsay ope'!P47*'Gainsay drivers · Gainsay fixed'!B30</f>
        <v>0</v>
      </c>
    </row>
    <row r="50" customFormat="false" ht="18" hidden="false" customHeight="false" outlineLevel="0" collapsed="false">
      <c r="A50" s="9" t="s">
        <v>184</v>
      </c>
      <c r="B50" s="12" t="n">
        <f aca="false">'Gainsay economics · Gainsay ope'!B48*'Gainsay drivers · Gainsay fixed'!B30</f>
        <v>0</v>
      </c>
      <c r="C50" s="12" t="n">
        <f aca="false">'Gainsay economics · Gainsay ope'!C48*'Gainsay drivers · Gainsay fixed'!B30</f>
        <v>0</v>
      </c>
      <c r="D50" s="12" t="n">
        <f aca="false">'Gainsay economics · Gainsay ope'!D48*'Gainsay drivers · Gainsay fixed'!B30</f>
        <v>0</v>
      </c>
      <c r="E50" s="12" t="n">
        <f aca="false">'Gainsay economics · Gainsay ope'!E48*'Gainsay drivers · Gainsay fixed'!B30</f>
        <v>0</v>
      </c>
      <c r="F50" s="12" t="n">
        <f aca="false">'Gainsay economics · Gainsay ope'!F48*'Gainsay drivers · Gainsay fixed'!B30</f>
        <v>0</v>
      </c>
      <c r="G50" s="12" t="n">
        <f aca="false">'Gainsay economics · Gainsay ope'!G48*'Gainsay drivers · Gainsay fixed'!B30</f>
        <v>0</v>
      </c>
      <c r="H50" s="12" t="n">
        <f aca="false">'Gainsay economics · Gainsay ope'!H48*'Gainsay drivers · Gainsay fixed'!B30</f>
        <v>0</v>
      </c>
      <c r="I50" s="12" t="n">
        <f aca="false">'Gainsay economics · Gainsay ope'!I48*'Gainsay drivers · Gainsay fixed'!B30</f>
        <v>0</v>
      </c>
      <c r="J50" s="12" t="n">
        <f aca="false">'Gainsay economics · Gainsay ope'!J48*'Gainsay drivers · Gainsay fixed'!B30</f>
        <v>0</v>
      </c>
      <c r="K50" s="12" t="n">
        <f aca="false">'Gainsay economics · Gainsay ope'!K48*'Gainsay drivers · Gainsay fixed'!B30</f>
        <v>0</v>
      </c>
      <c r="L50" s="12" t="n">
        <f aca="false">'Gainsay economics · Gainsay ope'!L48*'Gainsay drivers · Gainsay fixed'!B30</f>
        <v>0</v>
      </c>
      <c r="M50" s="12" t="n">
        <f aca="false">'Gainsay economics · Gainsay ope'!M48*'Gainsay drivers · Gainsay fixed'!B30</f>
        <v>0</v>
      </c>
      <c r="N50" s="12" t="n">
        <f aca="false">'Gainsay economics · Gainsay ope'!N48*'Gainsay drivers · Gainsay fixed'!B30</f>
        <v>0</v>
      </c>
      <c r="O50" s="12" t="n">
        <f aca="false">'Gainsay economics · Gainsay ope'!O48*'Gainsay drivers · Gainsay fixed'!B30</f>
        <v>0</v>
      </c>
      <c r="P50" s="12" t="n">
        <f aca="false">'Gainsay economics · Gainsay ope'!P48*'Gainsay drivers · Gainsay fixed'!B30</f>
        <v>0</v>
      </c>
    </row>
    <row r="51" customFormat="false" ht="18" hidden="false" customHeight="false" outlineLevel="0" collapsed="false">
      <c r="A51" s="9" t="s">
        <v>185</v>
      </c>
      <c r="B51" s="12" t="n">
        <f aca="false">'Gainsay economics · Gainsay ope'!B11+'Gainsay economics · Gainsay ope'!B49-'Gainsay economics · Gainsay ope'!B50</f>
        <v>-857.193</v>
      </c>
      <c r="C51" s="12" t="n">
        <f aca="false">'Gainsay economics · Gainsay ope'!C11+'Gainsay economics · Gainsay ope'!C49-'Gainsay economics · Gainsay ope'!C50</f>
        <v>-773.74916</v>
      </c>
      <c r="D51" s="12" t="n">
        <f aca="false">'Gainsay economics · Gainsay ope'!D11+'Gainsay economics · Gainsay ope'!D49-'Gainsay economics · Gainsay ope'!D50</f>
        <v>-688.4063327</v>
      </c>
      <c r="E51" s="12" t="n">
        <f aca="false">'Gainsay economics · Gainsay ope'!E11+'Gainsay economics · Gainsay ope'!E49-'Gainsay economics · Gainsay ope'!E50</f>
        <v>-601.001372594</v>
      </c>
      <c r="F51" s="12" t="n">
        <f aca="false">'Gainsay economics · Gainsay ope'!F11+'Gainsay economics · Gainsay ope'!F49-'Gainsay economics · Gainsay ope'!F50</f>
        <v>-511.36502278493</v>
      </c>
      <c r="G51" s="12" t="n">
        <f aca="false">'Gainsay economics · Gainsay ope'!G11+'Gainsay economics · Gainsay ope'!G49-'Gainsay economics · Gainsay ope'!G50</f>
        <v>-419.32154803857</v>
      </c>
      <c r="H51" s="12" t="n">
        <f aca="false">'Gainsay economics · Gainsay ope'!H11+'Gainsay economics · Gainsay ope'!H49-'Gainsay economics · Gainsay ope'!H50</f>
        <v>-324.688351331459</v>
      </c>
      <c r="I51" s="12" t="n">
        <f aca="false">'Gainsay economics · Gainsay ope'!I11+'Gainsay economics · Gainsay ope'!I49-'Gainsay economics · Gainsay ope'!I50</f>
        <v>-227.275573012265</v>
      </c>
      <c r="J51" s="12" t="n">
        <f aca="false">'Gainsay economics · Gainsay ope'!J11+'Gainsay economics · Gainsay ope'!J49-'Gainsay economics · Gainsay ope'!J50</f>
        <v>-126.885671653683</v>
      </c>
      <c r="K51" s="12" t="n">
        <f aca="false">'Gainsay economics · Gainsay ope'!K11+'Gainsay economics · Gainsay ope'!K49-'Gainsay economics · Gainsay ope'!K50</f>
        <v>-23.3129856274486</v>
      </c>
      <c r="L51" s="12" t="n">
        <f aca="false">'Gainsay economics · Gainsay ope'!L11+'Gainsay economics · Gainsay ope'!L49-'Gainsay economics · Gainsay ope'!L50</f>
        <v>83.6567256118299</v>
      </c>
      <c r="M51" s="12" t="n">
        <f aca="false">'Gainsay economics · Gainsay ope'!M11+'Gainsay economics · Gainsay ope'!M49-'Gainsay economics · Gainsay ope'!M50</f>
        <v>194.246761597453</v>
      </c>
      <c r="N51" s="12" t="n">
        <f aca="false">'Gainsay economics · Gainsay ope'!N11+'Gainsay economics · Gainsay ope'!N49-'Gainsay economics · Gainsay ope'!N50</f>
        <v>308.689983391206</v>
      </c>
      <c r="O51" s="12" t="n">
        <f aca="false">'Gainsay economics · Gainsay ope'!O11+'Gainsay economics · Gainsay ope'!O49-'Gainsay economics · Gainsay ope'!O50</f>
        <v>427.229339763231</v>
      </c>
      <c r="P51" s="12" t="n">
        <f aca="false">'Gainsay economics · Gainsay ope'!P11+'Gainsay economics · Gainsay ope'!P49-'Gainsay economics · Gainsay ope'!P50</f>
        <v>150.118418237783</v>
      </c>
    </row>
    <row r="52" customFormat="false" ht="18" hidden="false" customHeight="false" outlineLevel="0" collapsed="false">
      <c r="A52" s="9" t="s">
        <v>186</v>
      </c>
      <c r="B52" s="12" t="n">
        <f aca="false">IF(IF(DATE(2026,10,1)=DATE(2026,10,1),'Gainsay drivers · Gainsay fixed'!B21-'Gainsay drivers · Gainsay fixed'!B22,IF('Model inputs'!J31="","",'Model inputs'!J31))="",0,IF(DATE(2026,10,1)=DATE(2026,10,1),'Gainsay drivers · Gainsay fixed'!B21-'Gainsay drivers · Gainsay fixed'!B22,IF('Model inputs'!J31="","",'Model inputs'!J31)))+'Gainsay economics · Gainsay ope'!B51</f>
        <v>3642.807</v>
      </c>
      <c r="C52" s="12" t="n">
        <f aca="false">IF(IF(DATE(2026,11,1)=DATE(2026,10,1),'Gainsay drivers · Gainsay fixed'!B21-'Gainsay drivers · Gainsay fixed'!B22,IF('Gainsay economics · Gainsay ope'!B52="","",'Gainsay economics · Gainsay ope'!B52))="",0,IF(DATE(2026,11,1)=DATE(2026,10,1),'Gainsay drivers · Gainsay fixed'!B21-'Gainsay drivers · Gainsay fixed'!B22,IF('Gainsay economics · Gainsay ope'!B52="","",'Gainsay economics · Gainsay ope'!B52)))+'Gainsay economics · Gainsay ope'!C51</f>
        <v>2869.05784</v>
      </c>
      <c r="D52" s="12" t="n">
        <f aca="false">IF(IF(DATE(2026,12,1)=DATE(2026,10,1),'Gainsay drivers · Gainsay fixed'!B21-'Gainsay drivers · Gainsay fixed'!B22,IF('Gainsay economics · Gainsay ope'!C52="","",'Gainsay economics · Gainsay ope'!C52))="",0,IF(DATE(2026,12,1)=DATE(2026,10,1),'Gainsay drivers · Gainsay fixed'!B21-'Gainsay drivers · Gainsay fixed'!B22,IF('Gainsay economics · Gainsay ope'!C52="","",'Gainsay economics · Gainsay ope'!C52)))+'Gainsay economics · Gainsay ope'!D51</f>
        <v>2180.6515073</v>
      </c>
      <c r="E52" s="12" t="n">
        <f aca="false">IF(IF(DATE(2027,1,1)=DATE(2026,10,1),'Gainsay drivers · Gainsay fixed'!B21-'Gainsay drivers · Gainsay fixed'!B22,IF('Gainsay economics · Gainsay ope'!D52="","",'Gainsay economics · Gainsay ope'!D52))="",0,IF(DATE(2027,1,1)=DATE(2026,10,1),'Gainsay drivers · Gainsay fixed'!B21-'Gainsay drivers · Gainsay fixed'!B22,IF('Gainsay economics · Gainsay ope'!D52="","",'Gainsay economics · Gainsay ope'!D52)))+'Gainsay economics · Gainsay ope'!E51</f>
        <v>1579.650134706</v>
      </c>
      <c r="F52" s="12" t="n">
        <f aca="false">IF(IF(DATE(2027,2,1)=DATE(2026,10,1),'Gainsay drivers · Gainsay fixed'!B21-'Gainsay drivers · Gainsay fixed'!B22,IF('Gainsay economics · Gainsay ope'!E52="","",'Gainsay economics · Gainsay ope'!E52))="",0,IF(DATE(2027,2,1)=DATE(2026,10,1),'Gainsay drivers · Gainsay fixed'!B21-'Gainsay drivers · Gainsay fixed'!B22,IF('Gainsay economics · Gainsay ope'!E52="","",'Gainsay economics · Gainsay ope'!E52)))+'Gainsay economics · Gainsay ope'!F51</f>
        <v>1068.28511192107</v>
      </c>
      <c r="G52" s="12" t="n">
        <f aca="false">IF(IF(DATE(2027,3,1)=DATE(2026,10,1),'Gainsay drivers · Gainsay fixed'!B21-'Gainsay drivers · Gainsay fixed'!B22,IF('Gainsay economics · Gainsay ope'!F52="","",'Gainsay economics · Gainsay ope'!F52))="",0,IF(DATE(2027,3,1)=DATE(2026,10,1),'Gainsay drivers · Gainsay fixed'!B21-'Gainsay drivers · Gainsay fixed'!B22,IF('Gainsay economics · Gainsay ope'!F52="","",'Gainsay economics · Gainsay ope'!F52)))+'Gainsay economics · Gainsay ope'!G51</f>
        <v>648.963563882501</v>
      </c>
      <c r="H52" s="12" t="n">
        <f aca="false">IF(IF(DATE(2027,4,1)=DATE(2026,10,1),'Gainsay drivers · Gainsay fixed'!B21-'Gainsay drivers · Gainsay fixed'!B22,IF('Gainsay economics · Gainsay ope'!G52="","",'Gainsay economics · Gainsay ope'!G52))="",0,IF(DATE(2027,4,1)=DATE(2026,10,1),'Gainsay drivers · Gainsay fixed'!B21-'Gainsay drivers · Gainsay fixed'!B22,IF('Gainsay economics · Gainsay ope'!G52="","",'Gainsay economics · Gainsay ope'!G52)))+'Gainsay economics · Gainsay ope'!H51</f>
        <v>324.275212551041</v>
      </c>
      <c r="I52" s="12" t="n">
        <f aca="false">IF(IF(DATE(2027,5,1)=DATE(2026,10,1),'Gainsay drivers · Gainsay fixed'!B21-'Gainsay drivers · Gainsay fixed'!B22,IF('Gainsay economics · Gainsay ope'!H52="","",'Gainsay economics · Gainsay ope'!H52))="",0,IF(DATE(2027,5,1)=DATE(2026,10,1),'Gainsay drivers · Gainsay fixed'!B21-'Gainsay drivers · Gainsay fixed'!B22,IF('Gainsay economics · Gainsay ope'!H52="","",'Gainsay economics · Gainsay ope'!H52)))+'Gainsay economics · Gainsay ope'!I51</f>
        <v>96.9996395387766</v>
      </c>
      <c r="J52" s="12" t="n">
        <f aca="false">IF(IF(DATE(2027,6,1)=DATE(2026,10,1),'Gainsay drivers · Gainsay fixed'!B21-'Gainsay drivers · Gainsay fixed'!B22,IF('Gainsay economics · Gainsay ope'!I52="","",'Gainsay economics · Gainsay ope'!I52))="",0,IF(DATE(2027,6,1)=DATE(2026,10,1),'Gainsay drivers · Gainsay fixed'!B21-'Gainsay drivers · Gainsay fixed'!B22,IF('Gainsay economics · Gainsay ope'!I52="","",'Gainsay economics · Gainsay ope'!I52)))+'Gainsay economics · Gainsay ope'!J51</f>
        <v>-29.8860321149067</v>
      </c>
      <c r="K52" s="12" t="n">
        <f aca="false">IF(IF(DATE(2027,7,1)=DATE(2026,10,1),'Gainsay drivers · Gainsay fixed'!B21-'Gainsay drivers · Gainsay fixed'!B22,IF('Gainsay economics · Gainsay ope'!J52="","",'Gainsay economics · Gainsay ope'!J52))="",0,IF(DATE(2027,7,1)=DATE(2026,10,1),'Gainsay drivers · Gainsay fixed'!B21-'Gainsay drivers · Gainsay fixed'!B22,IF('Gainsay economics · Gainsay ope'!J52="","",'Gainsay economics · Gainsay ope'!J52)))+'Gainsay economics · Gainsay ope'!K51</f>
        <v>-53.1990177423553</v>
      </c>
      <c r="L52" s="12" t="n">
        <f aca="false">IF(IF(DATE(2027,8,1)=DATE(2026,10,1),'Gainsay drivers · Gainsay fixed'!B21-'Gainsay drivers · Gainsay fixed'!B22,IF('Gainsay economics · Gainsay ope'!K52="","",'Gainsay economics · Gainsay ope'!K52))="",0,IF(DATE(2027,8,1)=DATE(2026,10,1),'Gainsay drivers · Gainsay fixed'!B21-'Gainsay drivers · Gainsay fixed'!B22,IF('Gainsay economics · Gainsay ope'!K52="","",'Gainsay economics · Gainsay ope'!K52)))+'Gainsay economics · Gainsay ope'!L51</f>
        <v>30.4577078694746</v>
      </c>
      <c r="M52" s="12" t="n">
        <f aca="false">IF(IF(DATE(2027,9,1)=DATE(2026,10,1),'Gainsay drivers · Gainsay fixed'!B21-'Gainsay drivers · Gainsay fixed'!B22,IF('Gainsay economics · Gainsay ope'!L52="","",'Gainsay economics · Gainsay ope'!L52))="",0,IF(DATE(2027,9,1)=DATE(2026,10,1),'Gainsay drivers · Gainsay fixed'!B21-'Gainsay drivers · Gainsay fixed'!B22,IF('Gainsay economics · Gainsay ope'!L52="","",'Gainsay economics · Gainsay ope'!L52)))+'Gainsay economics · Gainsay ope'!M51</f>
        <v>224.704469466928</v>
      </c>
      <c r="N52" s="12" t="n">
        <f aca="false">IF(IF(DATE(2027,10,1)=DATE(2026,10,1),'Gainsay drivers · Gainsay fixed'!B21-'Gainsay drivers · Gainsay fixed'!B22,IF('Gainsay economics · Gainsay ope'!M52="","",'Gainsay economics · Gainsay ope'!M52))="",0,IF(DATE(2027,10,1)=DATE(2026,10,1),'Gainsay drivers · Gainsay fixed'!B21-'Gainsay drivers · Gainsay fixed'!B22,IF('Gainsay economics · Gainsay ope'!M52="","",'Gainsay economics · Gainsay ope'!M52)))+'Gainsay economics · Gainsay ope'!N51</f>
        <v>533.394452858134</v>
      </c>
      <c r="O52" s="12" t="n">
        <f aca="false">IF(IF(DATE(2027,11,1)=DATE(2026,10,1),'Gainsay drivers · Gainsay fixed'!B21-'Gainsay drivers · Gainsay fixed'!B22,IF('Gainsay economics · Gainsay ope'!N52="","",'Gainsay economics · Gainsay ope'!N52))="",0,IF(DATE(2027,11,1)=DATE(2026,10,1),'Gainsay drivers · Gainsay fixed'!B21-'Gainsay drivers · Gainsay fixed'!B22,IF('Gainsay economics · Gainsay ope'!N52="","",'Gainsay economics · Gainsay ope'!N52)))+'Gainsay economics · Gainsay ope'!O51</f>
        <v>960.623792621365</v>
      </c>
      <c r="P52" s="12" t="n">
        <f aca="false">IF(IF(DATE(2027,12,1)=DATE(2026,10,1),'Gainsay drivers · Gainsay fixed'!B21-'Gainsay drivers · Gainsay fixed'!B22,IF('Gainsay economics · Gainsay ope'!O52="","",'Gainsay economics · Gainsay ope'!O52))="",0,IF(DATE(2027,12,1)=DATE(2026,10,1),'Gainsay drivers · Gainsay fixed'!B21-'Gainsay drivers · Gainsay fixed'!B22,IF('Gainsay economics · Gainsay ope'!O52="","",'Gainsay economics · Gainsay ope'!O52)))+'Gainsay economics · Gainsay ope'!P51</f>
        <v>1110.74221085915</v>
      </c>
    </row>
    <row r="53" customFormat="false" ht="18" hidden="false" customHeight="false" outlineLevel="0" collapsed="false">
      <c r="A53" s="9" t="s">
        <v>187</v>
      </c>
      <c r="B53" s="12" t="n">
        <f aca="false">'Gainsay drivers · Gainsay fixed'!B31*('Gainsay drivers · Gainsay prici'!B10+'Gainsay drivers · Gainsay fixed'!B30)</f>
        <v>3031.8</v>
      </c>
      <c r="C53" s="12" t="n">
        <f aca="false">'Gainsay drivers · Gainsay fixed'!B31*('Gainsay drivers · Gainsay prici'!B10+'Gainsay drivers · Gainsay fixed'!B30)</f>
        <v>3031.8</v>
      </c>
      <c r="D53" s="12" t="n">
        <f aca="false">'Gainsay drivers · Gainsay fixed'!B31*('Gainsay drivers · Gainsay prici'!B10+'Gainsay drivers · Gainsay fixed'!B30)</f>
        <v>3031.8</v>
      </c>
      <c r="E53" s="12" t="n">
        <f aca="false">'Gainsay drivers · Gainsay fixed'!B31*('Gainsay drivers · Gainsay prici'!B10+'Gainsay drivers · Gainsay fixed'!B30)</f>
        <v>3031.8</v>
      </c>
      <c r="F53" s="12" t="n">
        <f aca="false">'Gainsay drivers · Gainsay fixed'!B31*('Gainsay drivers · Gainsay prici'!B10+'Gainsay drivers · Gainsay fixed'!B30)</f>
        <v>3031.8</v>
      </c>
      <c r="G53" s="12" t="n">
        <f aca="false">'Gainsay drivers · Gainsay fixed'!B31*('Gainsay drivers · Gainsay prici'!B10+'Gainsay drivers · Gainsay fixed'!B30)</f>
        <v>3031.8</v>
      </c>
      <c r="H53" s="12" t="n">
        <f aca="false">'Gainsay drivers · Gainsay fixed'!B31*('Gainsay drivers · Gainsay prici'!B10+'Gainsay drivers · Gainsay fixed'!B30)</f>
        <v>3031.8</v>
      </c>
      <c r="I53" s="12" t="n">
        <f aca="false">'Gainsay drivers · Gainsay fixed'!B31*('Gainsay drivers · Gainsay prici'!B10+'Gainsay drivers · Gainsay fixed'!B30)</f>
        <v>3031.8</v>
      </c>
      <c r="J53" s="12" t="n">
        <f aca="false">'Gainsay drivers · Gainsay fixed'!B31*('Gainsay drivers · Gainsay prici'!B10+'Gainsay drivers · Gainsay fixed'!B30)</f>
        <v>3031.8</v>
      </c>
      <c r="K53" s="12" t="n">
        <f aca="false">'Gainsay drivers · Gainsay fixed'!B31*('Gainsay drivers · Gainsay prici'!B10+'Gainsay drivers · Gainsay fixed'!B30)</f>
        <v>3031.8</v>
      </c>
      <c r="L53" s="12" t="n">
        <f aca="false">'Gainsay drivers · Gainsay fixed'!B31*('Gainsay drivers · Gainsay prici'!B10+'Gainsay drivers · Gainsay fixed'!B30)</f>
        <v>3031.8</v>
      </c>
      <c r="M53" s="12" t="n">
        <f aca="false">'Gainsay drivers · Gainsay fixed'!B31*('Gainsay drivers · Gainsay prici'!B10+'Gainsay drivers · Gainsay fixed'!B30)</f>
        <v>3031.8</v>
      </c>
      <c r="N53" s="12" t="n">
        <f aca="false">'Gainsay drivers · Gainsay fixed'!B31*('Gainsay drivers · Gainsay prici'!B10+'Gainsay drivers · Gainsay fixed'!B30)</f>
        <v>3031.8</v>
      </c>
      <c r="O53" s="12" t="n">
        <f aca="false">'Gainsay drivers · Gainsay fixed'!B31*('Gainsay drivers · Gainsay prici'!B10+'Gainsay drivers · Gainsay fixed'!B30)</f>
        <v>3031.8</v>
      </c>
      <c r="P53" s="12" t="n">
        <f aca="false">'Gainsay drivers · Gainsay fixed'!B31*('Gainsay drivers · Gainsay prici'!B10+'Gainsay drivers · Gainsay fixed'!B30)</f>
        <v>3031.8</v>
      </c>
    </row>
    <row r="54" customFormat="false" ht="18" hidden="false" customHeight="false" outlineLevel="0" collapsed="false">
      <c r="A54" s="9" t="s">
        <v>188</v>
      </c>
      <c r="B54" s="12" t="n">
        <f aca="false">MAX('Gainsay economics · Gainsay ope'!B53-'Gainsay economics · Gainsay ope'!B12,0)</f>
        <v>0</v>
      </c>
      <c r="C54" s="12" t="n">
        <f aca="false">MAX('Gainsay economics · Gainsay ope'!C53-'Gainsay economics · Gainsay ope'!C12,0)</f>
        <v>162.74216</v>
      </c>
      <c r="D54" s="12" t="n">
        <f aca="false">MAX('Gainsay economics · Gainsay ope'!D53-'Gainsay economics · Gainsay ope'!D12,0)</f>
        <v>851.1484927</v>
      </c>
      <c r="E54" s="12" t="n">
        <f aca="false">MAX('Gainsay economics · Gainsay ope'!E53-'Gainsay economics · Gainsay ope'!E12,0)</f>
        <v>1452.149865294</v>
      </c>
      <c r="F54" s="12" t="n">
        <f aca="false">MAX('Gainsay economics · Gainsay ope'!F53-'Gainsay economics · Gainsay ope'!F12,0)</f>
        <v>1963.51488807893</v>
      </c>
      <c r="G54" s="12" t="n">
        <f aca="false">MAX('Gainsay economics · Gainsay ope'!G53-'Gainsay economics · Gainsay ope'!G12,0)</f>
        <v>2382.8364361175</v>
      </c>
      <c r="H54" s="12" t="n">
        <f aca="false">MAX('Gainsay economics · Gainsay ope'!H53-'Gainsay economics · Gainsay ope'!H12,0)</f>
        <v>2707.52478744896</v>
      </c>
      <c r="I54" s="12" t="n">
        <f aca="false">MAX('Gainsay economics · Gainsay ope'!I53-'Gainsay economics · Gainsay ope'!I12,0)</f>
        <v>2934.80036046122</v>
      </c>
      <c r="J54" s="12" t="n">
        <f aca="false">MAX('Gainsay economics · Gainsay ope'!J53-'Gainsay economics · Gainsay ope'!J12,0)</f>
        <v>3061.68603211491</v>
      </c>
      <c r="K54" s="12" t="n">
        <f aca="false">MAX('Gainsay economics · Gainsay ope'!K53-'Gainsay economics · Gainsay ope'!K12,0)</f>
        <v>3084.99901774236</v>
      </c>
      <c r="L54" s="12" t="n">
        <f aca="false">MAX('Gainsay economics · Gainsay ope'!L53-'Gainsay economics · Gainsay ope'!L12,0)</f>
        <v>3001.34229213053</v>
      </c>
      <c r="M54" s="12" t="n">
        <f aca="false">MAX('Gainsay economics · Gainsay ope'!M53-'Gainsay economics · Gainsay ope'!M12,0)</f>
        <v>2807.09553053307</v>
      </c>
      <c r="N54" s="12" t="n">
        <f aca="false">MAX('Gainsay economics · Gainsay ope'!N53-'Gainsay economics · Gainsay ope'!N12,0)</f>
        <v>2498.40554714187</v>
      </c>
      <c r="O54" s="12" t="n">
        <f aca="false">MAX('Gainsay economics · Gainsay ope'!O53-'Gainsay economics · Gainsay ope'!O12,0)</f>
        <v>2071.17620737864</v>
      </c>
      <c r="P54" s="12" t="n">
        <f aca="false">MAX('Gainsay economics · Gainsay ope'!P53-'Gainsay economics · Gainsay ope'!P12,0)</f>
        <v>1921.05778914085</v>
      </c>
    </row>
    <row r="55" customFormat="false" ht="18" hidden="false" customHeight="false" outlineLevel="0" collapsed="false">
      <c r="A55" s="9" t="s">
        <v>189</v>
      </c>
      <c r="B55" s="12" t="n">
        <f aca="false">'Gainsay economics · Gainsay ope'!B12+'Gainsay drivers · Gainsay prici'!B23-'Gainsay drivers · Gainsay fixed'!B21</f>
        <v>7142.807</v>
      </c>
      <c r="C55" s="12" t="n">
        <f aca="false">'Gainsay economics · Gainsay ope'!C12+'Gainsay drivers · Gainsay prici'!B23-'Gainsay drivers · Gainsay fixed'!B21</f>
        <v>6369.05784</v>
      </c>
      <c r="D55" s="12" t="n">
        <f aca="false">'Gainsay economics · Gainsay ope'!D12+'Gainsay drivers · Gainsay prici'!B23-'Gainsay drivers · Gainsay fixed'!B21</f>
        <v>5680.6515073</v>
      </c>
      <c r="E55" s="12" t="n">
        <f aca="false">'Gainsay economics · Gainsay ope'!E12+'Gainsay drivers · Gainsay prici'!B23-'Gainsay drivers · Gainsay fixed'!B21</f>
        <v>5079.650134706</v>
      </c>
      <c r="F55" s="12" t="n">
        <f aca="false">'Gainsay economics · Gainsay ope'!F12+'Gainsay drivers · Gainsay prici'!B23-'Gainsay drivers · Gainsay fixed'!B21</f>
        <v>4568.28511192107</v>
      </c>
      <c r="G55" s="12" t="n">
        <f aca="false">'Gainsay economics · Gainsay ope'!G12+'Gainsay drivers · Gainsay prici'!B23-'Gainsay drivers · Gainsay fixed'!B21</f>
        <v>4148.9635638825</v>
      </c>
      <c r="H55" s="12" t="n">
        <f aca="false">'Gainsay economics · Gainsay ope'!H12+'Gainsay drivers · Gainsay prici'!B23-'Gainsay drivers · Gainsay fixed'!B21</f>
        <v>3824.27521255104</v>
      </c>
      <c r="I55" s="12" t="n">
        <f aca="false">'Gainsay economics · Gainsay ope'!I12+'Gainsay drivers · Gainsay prici'!B23-'Gainsay drivers · Gainsay fixed'!B21</f>
        <v>3596.99963953878</v>
      </c>
      <c r="J55" s="12" t="n">
        <f aca="false">'Gainsay economics · Gainsay ope'!J12+'Gainsay drivers · Gainsay prici'!B23-'Gainsay drivers · Gainsay fixed'!B21</f>
        <v>3470.11396788509</v>
      </c>
      <c r="K55" s="12" t="n">
        <f aca="false">'Gainsay economics · Gainsay ope'!K12+'Gainsay drivers · Gainsay prici'!B23-'Gainsay drivers · Gainsay fixed'!B21</f>
        <v>3446.80098225764</v>
      </c>
      <c r="L55" s="12" t="n">
        <f aca="false">'Gainsay economics · Gainsay ope'!L12+'Gainsay drivers · Gainsay prici'!B23-'Gainsay drivers · Gainsay fixed'!B21</f>
        <v>3530.45770786947</v>
      </c>
      <c r="M55" s="12" t="n">
        <f aca="false">'Gainsay economics · Gainsay ope'!M12+'Gainsay drivers · Gainsay prici'!B23-'Gainsay drivers · Gainsay fixed'!B21</f>
        <v>3724.70446946693</v>
      </c>
      <c r="N55" s="12" t="n">
        <f aca="false">'Gainsay economics · Gainsay ope'!N12+'Gainsay drivers · Gainsay prici'!B23-'Gainsay drivers · Gainsay fixed'!B21</f>
        <v>4033.39445285813</v>
      </c>
      <c r="O55" s="12" t="n">
        <f aca="false">'Gainsay economics · Gainsay ope'!O12+'Gainsay drivers · Gainsay prici'!B23-'Gainsay drivers · Gainsay fixed'!B21</f>
        <v>4460.62379262137</v>
      </c>
      <c r="P55" s="12" t="n">
        <f aca="false">'Gainsay economics · Gainsay ope'!P12+'Gainsay drivers · Gainsay prici'!B23-'Gainsay drivers · Gainsay fixed'!B21</f>
        <v>4610.74221085915</v>
      </c>
    </row>
    <row r="56" customFormat="false" ht="18" hidden="false" customHeight="false" outlineLevel="0" collapsed="false">
      <c r="A56" s="7" t="s">
        <v>190</v>
      </c>
      <c r="B56" s="16" t="n">
        <f aca="false">'Gainsay economics · Gainsay ope'!B55-'Gainsay economics · Gainsay ope'!B53</f>
        <v>4111.007</v>
      </c>
      <c r="C56" s="16" t="n">
        <f aca="false">'Gainsay economics · Gainsay ope'!C55-'Gainsay economics · Gainsay ope'!C53</f>
        <v>3337.25784</v>
      </c>
      <c r="D56" s="16" t="n">
        <f aca="false">'Gainsay economics · Gainsay ope'!D55-'Gainsay economics · Gainsay ope'!D53</f>
        <v>2648.8515073</v>
      </c>
      <c r="E56" s="16" t="n">
        <f aca="false">'Gainsay economics · Gainsay ope'!E55-'Gainsay economics · Gainsay ope'!E53</f>
        <v>2047.850134706</v>
      </c>
      <c r="F56" s="16" t="n">
        <f aca="false">'Gainsay economics · Gainsay ope'!F55-'Gainsay economics · Gainsay ope'!F53</f>
        <v>1536.48511192107</v>
      </c>
      <c r="G56" s="16" t="n">
        <f aca="false">'Gainsay economics · Gainsay ope'!G55-'Gainsay economics · Gainsay ope'!G53</f>
        <v>1117.1635638825</v>
      </c>
      <c r="H56" s="16" t="n">
        <f aca="false">'Gainsay economics · Gainsay ope'!H55-'Gainsay economics · Gainsay ope'!H53</f>
        <v>792.475212551041</v>
      </c>
      <c r="I56" s="16" t="n">
        <f aca="false">'Gainsay economics · Gainsay ope'!I55-'Gainsay economics · Gainsay ope'!I53</f>
        <v>565.199639538777</v>
      </c>
      <c r="J56" s="16" t="n">
        <f aca="false">'Gainsay economics · Gainsay ope'!J55-'Gainsay economics · Gainsay ope'!J53</f>
        <v>438.313967885094</v>
      </c>
      <c r="K56" s="16" t="n">
        <f aca="false">'Gainsay economics · Gainsay ope'!K55-'Gainsay economics · Gainsay ope'!K53</f>
        <v>415.000982257644</v>
      </c>
      <c r="L56" s="16" t="n">
        <f aca="false">'Gainsay economics · Gainsay ope'!L55-'Gainsay economics · Gainsay ope'!L53</f>
        <v>498.657707869475</v>
      </c>
      <c r="M56" s="16" t="n">
        <f aca="false">'Gainsay economics · Gainsay ope'!M55-'Gainsay economics · Gainsay ope'!M53</f>
        <v>692.904469466927</v>
      </c>
      <c r="N56" s="16" t="n">
        <f aca="false">'Gainsay economics · Gainsay ope'!N55-'Gainsay economics · Gainsay ope'!N53</f>
        <v>1001.59445285813</v>
      </c>
      <c r="O56" s="16" t="n">
        <f aca="false">'Gainsay economics · Gainsay ope'!O55-'Gainsay economics · Gainsay ope'!O53</f>
        <v>1428.82379262137</v>
      </c>
      <c r="P56" s="16" t="n">
        <f aca="false">'Gainsay economics · Gainsay ope'!P55-'Gainsay economics · Gainsay ope'!P53</f>
        <v>1578.94221085915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1" outlineLevelCol="0"/>
  <cols>
    <col collapsed="false" customWidth="true" hidden="false" outlineLevel="0" max="1" min="1" style="0" width="40"/>
    <col collapsed="false" customWidth="true" hidden="false" outlineLevel="0" max="16" min="2" style="0" width="19"/>
  </cols>
  <sheetData>
    <row r="1" customFormat="false" ht="31.5" hidden="false" customHeight="true" outlineLevel="0" collapsed="false">
      <c r="A1" s="3" t="s">
        <v>191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9.5" hidden="false" customHeight="true" outlineLevel="0" collapsed="false">
      <c r="A2" s="4" t="s">
        <v>47</v>
      </c>
    </row>
    <row r="4" customFormat="false" ht="21.75" hidden="false" customHeight="true" outlineLevel="0" collapsed="false">
      <c r="A4" s="5" t="s">
        <v>48</v>
      </c>
      <c r="B4" s="14" t="s">
        <v>82</v>
      </c>
      <c r="C4" s="6" t="s">
        <v>83</v>
      </c>
      <c r="D4" s="6" t="s">
        <v>84</v>
      </c>
      <c r="E4" s="14" t="s">
        <v>85</v>
      </c>
      <c r="F4" s="6" t="s">
        <v>86</v>
      </c>
      <c r="G4" s="6" t="s">
        <v>87</v>
      </c>
      <c r="H4" s="14" t="s">
        <v>88</v>
      </c>
      <c r="I4" s="6" t="s">
        <v>89</v>
      </c>
      <c r="J4" s="6" t="s">
        <v>90</v>
      </c>
      <c r="K4" s="14" t="s">
        <v>91</v>
      </c>
      <c r="L4" s="6" t="s">
        <v>92</v>
      </c>
      <c r="M4" s="6" t="s">
        <v>93</v>
      </c>
      <c r="N4" s="14" t="s">
        <v>94</v>
      </c>
      <c r="O4" s="6" t="s">
        <v>95</v>
      </c>
      <c r="P4" s="6" t="s">
        <v>96</v>
      </c>
    </row>
    <row r="5" customFormat="false" ht="18" hidden="false" customHeight="false" outlineLevel="0" collapsed="false">
      <c r="A5" s="7" t="s">
        <v>192</v>
      </c>
      <c r="B5" s="18" t="str">
        <f aca="false">""</f>
        <v/>
      </c>
      <c r="C5" s="18" t="str">
        <f aca="false">""</f>
        <v/>
      </c>
      <c r="D5" s="18" t="str">
        <f aca="false">""</f>
        <v/>
      </c>
      <c r="E5" s="18" t="str">
        <f aca="false">""</f>
        <v/>
      </c>
      <c r="F5" s="18" t="str">
        <f aca="false">""</f>
        <v/>
      </c>
      <c r="G5" s="18" t="str">
        <f aca="false">""</f>
        <v/>
      </c>
      <c r="H5" s="18" t="str">
        <f aca="false">""</f>
        <v/>
      </c>
      <c r="I5" s="18" t="str">
        <f aca="false">""</f>
        <v/>
      </c>
      <c r="J5" s="18" t="str">
        <f aca="false">""</f>
        <v/>
      </c>
      <c r="K5" s="18" t="str">
        <f aca="false">""</f>
        <v/>
      </c>
      <c r="L5" s="18" t="str">
        <f aca="false">""</f>
        <v/>
      </c>
      <c r="M5" s="18" t="str">
        <f aca="false">""</f>
        <v/>
      </c>
      <c r="N5" s="18" t="str">
        <f aca="false">""</f>
        <v/>
      </c>
      <c r="O5" s="18" t="str">
        <f aca="false">""</f>
        <v/>
      </c>
      <c r="P5" s="18" t="str">
        <f aca="false">""</f>
        <v/>
      </c>
    </row>
    <row r="6" customFormat="false" ht="18" hidden="false" customHeight="false" outlineLevel="1" collapsed="false">
      <c r="A6" s="24" t="s">
        <v>136</v>
      </c>
      <c r="B6" s="21" t="n">
        <f aca="false">'Gainsay economics · Gainsay ope'!B33+('Gainsay drivers · Gainsay fixed'!B20-'Gainsay drivers · Gainsay data-'!B5)*IF(IF(IFERROR(YEAR(DATE(2026,10,1))=2026=TRUE(),FALSE()),TRUE(),IF(IFERROR(MONTH(DATE(2026,10,1))&lt;10=TRUE(),FALSE()),TRUE(),OR(YEAR(DATE(2026,10,1))=2026,MONTH(DATE(2026,10,1))&lt;10))),1,2)</f>
        <v>-6107.193</v>
      </c>
      <c r="C6" s="21" t="n">
        <f aca="false">'Gainsay economics · Gainsay ope'!C33+('Gainsay drivers · Gainsay fixed'!B20-'Gainsay drivers · Gainsay data-'!B5)*IF(IF(IFERROR(YEAR(DATE(2026,11,1))=2026=TRUE(),FALSE()),TRUE(),IF(IFERROR(MONTH(DATE(2026,11,1))&lt;10=TRUE(),FALSE()),TRUE(),OR(YEAR(DATE(2026,11,1))=2026,MONTH(DATE(2026,11,1))&lt;10))),1,2)</f>
        <v>-6630.94216</v>
      </c>
      <c r="D6" s="21" t="n">
        <f aca="false">'Gainsay economics · Gainsay ope'!D33+('Gainsay drivers · Gainsay fixed'!B20-'Gainsay drivers · Gainsay data-'!B5)*IF(IF(IFERROR(YEAR(DATE(2026,12,1))=2026=TRUE(),FALSE()),TRUE(),IF(IFERROR(MONTH(DATE(2026,12,1))&lt;10=TRUE(),FALSE()),TRUE(),OR(YEAR(DATE(2026,12,1))=2026,MONTH(DATE(2026,12,1))&lt;10))),1,2)</f>
        <v>-7069.3484927</v>
      </c>
      <c r="E6" s="21" t="n">
        <f aca="false">'Gainsay economics · Gainsay ope'!E33+('Gainsay drivers · Gainsay fixed'!B20-'Gainsay drivers · Gainsay data-'!B5)*IF(IF(IFERROR(YEAR(DATE(2027,1,1))=2026=TRUE(),FALSE()),TRUE(),IF(IFERROR(MONTH(DATE(2027,1,1))&lt;10=TRUE(),FALSE()),TRUE(),OR(YEAR(DATE(2027,1,1))=2026,MONTH(DATE(2027,1,1))&lt;10))),1,2)</f>
        <v>-7420.349865294</v>
      </c>
      <c r="F6" s="21" t="n">
        <f aca="false">'Gainsay economics · Gainsay ope'!F33+('Gainsay drivers · Gainsay fixed'!B20-'Gainsay drivers · Gainsay data-'!B5)*IF(IF(IFERROR(YEAR(DATE(2027,2,1))=2026=TRUE(),FALSE()),TRUE(),IF(IFERROR(MONTH(DATE(2027,2,1))&lt;10=TRUE(),FALSE()),TRUE(),OR(YEAR(DATE(2027,2,1))=2026,MONTH(DATE(2027,2,1))&lt;10))),1,2)</f>
        <v>-7681.71488807893</v>
      </c>
      <c r="G6" s="21" t="n">
        <f aca="false">'Gainsay economics · Gainsay ope'!G33+('Gainsay drivers · Gainsay fixed'!B20-'Gainsay drivers · Gainsay data-'!B5)*IF(IF(IFERROR(YEAR(DATE(2027,3,1))=2026=TRUE(),FALSE()),TRUE(),IF(IFERROR(MONTH(DATE(2027,3,1))&lt;10=TRUE(),FALSE()),TRUE(),OR(YEAR(DATE(2027,3,1))=2026,MONTH(DATE(2027,3,1))&lt;10))),1,2)</f>
        <v>-7851.0364361175</v>
      </c>
      <c r="H6" s="21" t="n">
        <f aca="false">'Gainsay economics · Gainsay ope'!H33+('Gainsay drivers · Gainsay fixed'!B20-'Gainsay drivers · Gainsay data-'!B5)*IF(IF(IFERROR(YEAR(DATE(2027,4,1))=2026=TRUE(),FALSE()),TRUE(),IF(IFERROR(MONTH(DATE(2027,4,1))&lt;10=TRUE(),FALSE()),TRUE(),OR(YEAR(DATE(2027,4,1))=2026,MONTH(DATE(2027,4,1))&lt;10))),1,2)</f>
        <v>-7925.72478744896</v>
      </c>
      <c r="I6" s="21" t="n">
        <f aca="false">'Gainsay economics · Gainsay ope'!I33+('Gainsay drivers · Gainsay fixed'!B20-'Gainsay drivers · Gainsay data-'!B5)*IF(IF(IFERROR(YEAR(DATE(2027,5,1))=2026=TRUE(),FALSE()),TRUE(),IF(IFERROR(MONTH(DATE(2027,5,1))&lt;10=TRUE(),FALSE()),TRUE(),OR(YEAR(DATE(2027,5,1))=2026,MONTH(DATE(2027,5,1))&lt;10))),1,2)</f>
        <v>-7903.00036046122</v>
      </c>
      <c r="J6" s="21" t="n">
        <f aca="false">'Gainsay economics · Gainsay ope'!J33+('Gainsay drivers · Gainsay fixed'!B20-'Gainsay drivers · Gainsay data-'!B5)*IF(IF(IFERROR(YEAR(DATE(2027,6,1))=2026=TRUE(),FALSE()),TRUE(),IF(IFERROR(MONTH(DATE(2027,6,1))&lt;10=TRUE(),FALSE()),TRUE(),OR(YEAR(DATE(2027,6,1))=2026,MONTH(DATE(2027,6,1))&lt;10))),1,2)</f>
        <v>-7779.88603211491</v>
      </c>
      <c r="K6" s="21" t="n">
        <f aca="false">'Gainsay economics · Gainsay ope'!K33+('Gainsay drivers · Gainsay fixed'!B20-'Gainsay drivers · Gainsay data-'!B5)*IF(IF(IFERROR(YEAR(DATE(2027,7,1))=2026=TRUE(),FALSE()),TRUE(),IF(IFERROR(MONTH(DATE(2027,7,1))&lt;10=TRUE(),FALSE()),TRUE(),OR(YEAR(DATE(2027,7,1))=2026,MONTH(DATE(2027,7,1))&lt;10))),1,2)</f>
        <v>-7553.19901774236</v>
      </c>
      <c r="L6" s="21" t="n">
        <f aca="false">'Gainsay economics · Gainsay ope'!L33+('Gainsay drivers · Gainsay fixed'!B20-'Gainsay drivers · Gainsay data-'!B5)*IF(IF(IFERROR(YEAR(DATE(2027,8,1))=2026=TRUE(),FALSE()),TRUE(),IF(IFERROR(MONTH(DATE(2027,8,1))&lt;10=TRUE(),FALSE()),TRUE(),OR(YEAR(DATE(2027,8,1))=2026,MONTH(DATE(2027,8,1))&lt;10))),1,2)</f>
        <v>-7219.54229213053</v>
      </c>
      <c r="M6" s="21" t="n">
        <f aca="false">'Gainsay economics · Gainsay ope'!M33+('Gainsay drivers · Gainsay fixed'!B20-'Gainsay drivers · Gainsay data-'!B5)*IF(IF(IFERROR(YEAR(DATE(2027,9,1))=2026=TRUE(),FALSE()),TRUE(),IF(IFERROR(MONTH(DATE(2027,9,1))&lt;10=TRUE(),FALSE()),TRUE(),OR(YEAR(DATE(2027,9,1))=2026,MONTH(DATE(2027,9,1))&lt;10))),1,2)</f>
        <v>-6775.29553053307</v>
      </c>
      <c r="N6" s="21" t="n">
        <f aca="false">'Gainsay economics · Gainsay ope'!N33+('Gainsay drivers · Gainsay fixed'!B20-'Gainsay drivers · Gainsay data-'!B5)*IF(IF(IFERROR(YEAR(DATE(2027,10,1))=2026=TRUE(),FALSE()),TRUE(),IF(IFERROR(MONTH(DATE(2027,10,1))&lt;10=TRUE(),FALSE()),TRUE(),OR(YEAR(DATE(2027,10,1))=2026,MONTH(DATE(2027,10,1))&lt;10))),1,2)</f>
        <v>-16216.6055471419</v>
      </c>
      <c r="O6" s="21" t="n">
        <f aca="false">'Gainsay economics · Gainsay ope'!O33+('Gainsay drivers · Gainsay fixed'!B20-'Gainsay drivers · Gainsay data-'!B5)*IF(IF(IFERROR(YEAR(DATE(2027,11,1))=2026=TRUE(),FALSE()),TRUE(),IF(IFERROR(MONTH(DATE(2027,11,1))&lt;10=TRUE(),FALSE()),TRUE(),OR(YEAR(DATE(2027,11,1))=2026,MONTH(DATE(2027,11,1))&lt;10))),1,2)</f>
        <v>-15539.3762073786</v>
      </c>
      <c r="P6" s="21" t="n">
        <f aca="false">'Gainsay economics · Gainsay ope'!P33+('Gainsay drivers · Gainsay fixed'!B20-'Gainsay drivers · Gainsay data-'!B5)*IF(IF(IFERROR(YEAR(DATE(2027,12,1))=2026=TRUE(),FALSE()),TRUE(),IF(IFERROR(MONTH(DATE(2027,12,1))&lt;10=TRUE(),FALSE()),TRUE(),OR(YEAR(DATE(2027,12,1))=2026,MONTH(DATE(2027,12,1))&lt;10))),1,2)</f>
        <v>-15139.2577891409</v>
      </c>
    </row>
    <row r="7" customFormat="false" ht="18" hidden="false" customHeight="false" outlineLevel="1" collapsed="false">
      <c r="A7" s="24" t="s">
        <v>137</v>
      </c>
      <c r="B7" s="21" t="n">
        <f aca="false">'Gainsay economics · Gainsay ope'!B33+('Gainsay drivers · Gainsay fixed'!B20-'Gainsay drivers · Gainsay data-'!B6)*IF(IF(IFERROR(YEAR(DATE(2026,10,1))=2026=TRUE(),FALSE()),TRUE(),IF(IFERROR(MONTH(DATE(2026,10,1))&lt;10=TRUE(),FALSE()),TRUE(),OR(YEAR(DATE(2026,10,1))=2026,MONTH(DATE(2026,10,1))&lt;10))),1,2)</f>
        <v>892.807</v>
      </c>
      <c r="C7" s="21" t="n">
        <f aca="false">'Gainsay economics · Gainsay ope'!C33+('Gainsay drivers · Gainsay fixed'!B20-'Gainsay drivers · Gainsay data-'!B6)*IF(IF(IFERROR(YEAR(DATE(2026,11,1))=2026=TRUE(),FALSE()),TRUE(),IF(IFERROR(MONTH(DATE(2026,11,1))&lt;10=TRUE(),FALSE()),TRUE(),OR(YEAR(DATE(2026,11,1))=2026,MONTH(DATE(2026,11,1))&lt;10))),1,2)</f>
        <v>369.05784</v>
      </c>
      <c r="D7" s="21" t="n">
        <f aca="false">'Gainsay economics · Gainsay ope'!D33+('Gainsay drivers · Gainsay fixed'!B20-'Gainsay drivers · Gainsay data-'!B6)*IF(IF(IFERROR(YEAR(DATE(2026,12,1))=2026=TRUE(),FALSE()),TRUE(),IF(IFERROR(MONTH(DATE(2026,12,1))&lt;10=TRUE(),FALSE()),TRUE(),OR(YEAR(DATE(2026,12,1))=2026,MONTH(DATE(2026,12,1))&lt;10))),1,2)</f>
        <v>-69.3484927000001</v>
      </c>
      <c r="E7" s="21" t="n">
        <f aca="false">'Gainsay economics · Gainsay ope'!E33+('Gainsay drivers · Gainsay fixed'!B20-'Gainsay drivers · Gainsay data-'!B6)*IF(IF(IFERROR(YEAR(DATE(2027,1,1))=2026=TRUE(),FALSE()),TRUE(),IF(IFERROR(MONTH(DATE(2027,1,1))&lt;10=TRUE(),FALSE()),TRUE(),OR(YEAR(DATE(2027,1,1))=2026,MONTH(DATE(2027,1,1))&lt;10))),1,2)</f>
        <v>-420.349865294</v>
      </c>
      <c r="F7" s="21" t="n">
        <f aca="false">'Gainsay economics · Gainsay ope'!F33+('Gainsay drivers · Gainsay fixed'!B20-'Gainsay drivers · Gainsay data-'!B6)*IF(IF(IFERROR(YEAR(DATE(2027,2,1))=2026=TRUE(),FALSE()),TRUE(),IF(IFERROR(MONTH(DATE(2027,2,1))&lt;10=TRUE(),FALSE()),TRUE(),OR(YEAR(DATE(2027,2,1))=2026,MONTH(DATE(2027,2,1))&lt;10))),1,2)</f>
        <v>-681.71488807893</v>
      </c>
      <c r="G7" s="21" t="n">
        <f aca="false">'Gainsay economics · Gainsay ope'!G33+('Gainsay drivers · Gainsay fixed'!B20-'Gainsay drivers · Gainsay data-'!B6)*IF(IF(IFERROR(YEAR(DATE(2027,3,1))=2026=TRUE(),FALSE()),TRUE(),IF(IFERROR(MONTH(DATE(2027,3,1))&lt;10=TRUE(),FALSE()),TRUE(),OR(YEAR(DATE(2027,3,1))=2026,MONTH(DATE(2027,3,1))&lt;10))),1,2)</f>
        <v>-851.0364361175</v>
      </c>
      <c r="H7" s="21" t="n">
        <f aca="false">'Gainsay economics · Gainsay ope'!H33+('Gainsay drivers · Gainsay fixed'!B20-'Gainsay drivers · Gainsay data-'!B6)*IF(IF(IFERROR(YEAR(DATE(2027,4,1))=2026=TRUE(),FALSE()),TRUE(),IF(IFERROR(MONTH(DATE(2027,4,1))&lt;10=TRUE(),FALSE()),TRUE(),OR(YEAR(DATE(2027,4,1))=2026,MONTH(DATE(2027,4,1))&lt;10))),1,2)</f>
        <v>-925.724787448959</v>
      </c>
      <c r="I7" s="21" t="n">
        <f aca="false">'Gainsay economics · Gainsay ope'!I33+('Gainsay drivers · Gainsay fixed'!B20-'Gainsay drivers · Gainsay data-'!B6)*IF(IF(IFERROR(YEAR(DATE(2027,5,1))=2026=TRUE(),FALSE()),TRUE(),IF(IFERROR(MONTH(DATE(2027,5,1))&lt;10=TRUE(),FALSE()),TRUE(),OR(YEAR(DATE(2027,5,1))=2026,MONTH(DATE(2027,5,1))&lt;10))),1,2)</f>
        <v>-903.000360461224</v>
      </c>
      <c r="J7" s="21" t="n">
        <f aca="false">'Gainsay economics · Gainsay ope'!J33+('Gainsay drivers · Gainsay fixed'!B20-'Gainsay drivers · Gainsay data-'!B6)*IF(IF(IFERROR(YEAR(DATE(2027,6,1))=2026=TRUE(),FALSE()),TRUE(),IF(IFERROR(MONTH(DATE(2027,6,1))&lt;10=TRUE(),FALSE()),TRUE(),OR(YEAR(DATE(2027,6,1))=2026,MONTH(DATE(2027,6,1))&lt;10))),1,2)</f>
        <v>-779.886032114907</v>
      </c>
      <c r="K7" s="21" t="n">
        <f aca="false">'Gainsay economics · Gainsay ope'!K33+('Gainsay drivers · Gainsay fixed'!B20-'Gainsay drivers · Gainsay data-'!B6)*IF(IF(IFERROR(YEAR(DATE(2027,7,1))=2026=TRUE(),FALSE()),TRUE(),IF(IFERROR(MONTH(DATE(2027,7,1))&lt;10=TRUE(),FALSE()),TRUE(),OR(YEAR(DATE(2027,7,1))=2026,MONTH(DATE(2027,7,1))&lt;10))),1,2)</f>
        <v>-553.199017742356</v>
      </c>
      <c r="L7" s="21" t="n">
        <f aca="false">'Gainsay economics · Gainsay ope'!L33+('Gainsay drivers · Gainsay fixed'!B20-'Gainsay drivers · Gainsay data-'!B6)*IF(IF(IFERROR(YEAR(DATE(2027,8,1))=2026=TRUE(),FALSE()),TRUE(),IF(IFERROR(MONTH(DATE(2027,8,1))&lt;10=TRUE(),FALSE()),TRUE(),OR(YEAR(DATE(2027,8,1))=2026,MONTH(DATE(2027,8,1))&lt;10))),1,2)</f>
        <v>-219.542292130526</v>
      </c>
      <c r="M7" s="21" t="n">
        <f aca="false">'Gainsay economics · Gainsay ope'!M33+('Gainsay drivers · Gainsay fixed'!B20-'Gainsay drivers · Gainsay data-'!B6)*IF(IF(IFERROR(YEAR(DATE(2027,9,1))=2026=TRUE(),FALSE()),TRUE(),IF(IFERROR(MONTH(DATE(2027,9,1))&lt;10=TRUE(),FALSE()),TRUE(),OR(YEAR(DATE(2027,9,1))=2026,MONTH(DATE(2027,9,1))&lt;10))),1,2)</f>
        <v>224.704469466927</v>
      </c>
      <c r="N7" s="21" t="n">
        <f aca="false">'Gainsay economics · Gainsay ope'!N33+('Gainsay drivers · Gainsay fixed'!B20-'Gainsay drivers · Gainsay data-'!B6)*IF(IF(IFERROR(YEAR(DATE(2027,10,1))=2026=TRUE(),FALSE()),TRUE(),IF(IFERROR(MONTH(DATE(2027,10,1))&lt;10=TRUE(),FALSE()),TRUE(),OR(YEAR(DATE(2027,10,1))=2026,MONTH(DATE(2027,10,1))&lt;10))),1,2)</f>
        <v>-2216.60554714187</v>
      </c>
      <c r="O7" s="21" t="n">
        <f aca="false">'Gainsay economics · Gainsay ope'!O33+('Gainsay drivers · Gainsay fixed'!B20-'Gainsay drivers · Gainsay data-'!B6)*IF(IF(IFERROR(YEAR(DATE(2027,11,1))=2026=TRUE(),FALSE()),TRUE(),IF(IFERROR(MONTH(DATE(2027,11,1))&lt;10=TRUE(),FALSE()),TRUE(),OR(YEAR(DATE(2027,11,1))=2026,MONTH(DATE(2027,11,1))&lt;10))),1,2)</f>
        <v>-1539.37620737863</v>
      </c>
      <c r="P7" s="21" t="n">
        <f aca="false">'Gainsay economics · Gainsay ope'!P33+('Gainsay drivers · Gainsay fixed'!B20-'Gainsay drivers · Gainsay data-'!B6)*IF(IF(IFERROR(YEAR(DATE(2027,12,1))=2026=TRUE(),FALSE()),TRUE(),IF(IFERROR(MONTH(DATE(2027,12,1))&lt;10=TRUE(),FALSE()),TRUE(),OR(YEAR(DATE(2027,12,1))=2026,MONTH(DATE(2027,12,1))&lt;10))),1,2)</f>
        <v>-1139.25778914085</v>
      </c>
    </row>
    <row r="8" customFormat="false" ht="18" hidden="false" customHeight="false" outlineLevel="1" collapsed="false">
      <c r="A8" s="24" t="s">
        <v>138</v>
      </c>
      <c r="B8" s="21" t="n">
        <f aca="false">'Gainsay economics · Gainsay ope'!B33+('Gainsay drivers · Gainsay fixed'!B20-'Gainsay drivers · Gainsay data-'!B7)*IF(IF(IFERROR(YEAR(DATE(2026,10,1))=2026=TRUE(),FALSE()),TRUE(),IF(IFERROR(MONTH(DATE(2026,10,1))&lt;10=TRUE(),FALSE()),TRUE(),OR(YEAR(DATE(2026,10,1))=2026,MONTH(DATE(2026,10,1))&lt;10))),1,2)</f>
        <v>3892.807</v>
      </c>
      <c r="C8" s="21" t="n">
        <f aca="false">'Gainsay economics · Gainsay ope'!C33+('Gainsay drivers · Gainsay fixed'!B20-'Gainsay drivers · Gainsay data-'!B7)*IF(IF(IFERROR(YEAR(DATE(2026,11,1))=2026=TRUE(),FALSE()),TRUE(),IF(IFERROR(MONTH(DATE(2026,11,1))&lt;10=TRUE(),FALSE()),TRUE(),OR(YEAR(DATE(2026,11,1))=2026,MONTH(DATE(2026,11,1))&lt;10))),1,2)</f>
        <v>3369.05784</v>
      </c>
      <c r="D8" s="21" t="n">
        <f aca="false">'Gainsay economics · Gainsay ope'!D33+('Gainsay drivers · Gainsay fixed'!B20-'Gainsay drivers · Gainsay data-'!B7)*IF(IF(IFERROR(YEAR(DATE(2026,12,1))=2026=TRUE(),FALSE()),TRUE(),IF(IFERROR(MONTH(DATE(2026,12,1))&lt;10=TRUE(),FALSE()),TRUE(),OR(YEAR(DATE(2026,12,1))=2026,MONTH(DATE(2026,12,1))&lt;10))),1,2)</f>
        <v>2930.6515073</v>
      </c>
      <c r="E8" s="21" t="n">
        <f aca="false">'Gainsay economics · Gainsay ope'!E33+('Gainsay drivers · Gainsay fixed'!B20-'Gainsay drivers · Gainsay data-'!B7)*IF(IF(IFERROR(YEAR(DATE(2027,1,1))=2026=TRUE(),FALSE()),TRUE(),IF(IFERROR(MONTH(DATE(2027,1,1))&lt;10=TRUE(),FALSE()),TRUE(),OR(YEAR(DATE(2027,1,1))=2026,MONTH(DATE(2027,1,1))&lt;10))),1,2)</f>
        <v>2579.650134706</v>
      </c>
      <c r="F8" s="21" t="n">
        <f aca="false">'Gainsay economics · Gainsay ope'!F33+('Gainsay drivers · Gainsay fixed'!B20-'Gainsay drivers · Gainsay data-'!B7)*IF(IF(IFERROR(YEAR(DATE(2027,2,1))=2026=TRUE(),FALSE()),TRUE(),IF(IFERROR(MONTH(DATE(2027,2,1))&lt;10=TRUE(),FALSE()),TRUE(),OR(YEAR(DATE(2027,2,1))=2026,MONTH(DATE(2027,2,1))&lt;10))),1,2)</f>
        <v>2318.28511192107</v>
      </c>
      <c r="G8" s="21" t="n">
        <f aca="false">'Gainsay economics · Gainsay ope'!G33+('Gainsay drivers · Gainsay fixed'!B20-'Gainsay drivers · Gainsay data-'!B7)*IF(IF(IFERROR(YEAR(DATE(2027,3,1))=2026=TRUE(),FALSE()),TRUE(),IF(IFERROR(MONTH(DATE(2027,3,1))&lt;10=TRUE(),FALSE()),TRUE(),OR(YEAR(DATE(2027,3,1))=2026,MONTH(DATE(2027,3,1))&lt;10))),1,2)</f>
        <v>2148.9635638825</v>
      </c>
      <c r="H8" s="21" t="n">
        <f aca="false">'Gainsay economics · Gainsay ope'!H33+('Gainsay drivers · Gainsay fixed'!B20-'Gainsay drivers · Gainsay data-'!B7)*IF(IF(IFERROR(YEAR(DATE(2027,4,1))=2026=TRUE(),FALSE()),TRUE(),IF(IFERROR(MONTH(DATE(2027,4,1))&lt;10=TRUE(),FALSE()),TRUE(),OR(YEAR(DATE(2027,4,1))=2026,MONTH(DATE(2027,4,1))&lt;10))),1,2)</f>
        <v>2074.27521255104</v>
      </c>
      <c r="I8" s="21" t="n">
        <f aca="false">'Gainsay economics · Gainsay ope'!I33+('Gainsay drivers · Gainsay fixed'!B20-'Gainsay drivers · Gainsay data-'!B7)*IF(IF(IFERROR(YEAR(DATE(2027,5,1))=2026=TRUE(),FALSE()),TRUE(),IF(IFERROR(MONTH(DATE(2027,5,1))&lt;10=TRUE(),FALSE()),TRUE(),OR(YEAR(DATE(2027,5,1))=2026,MONTH(DATE(2027,5,1))&lt;10))),1,2)</f>
        <v>2096.99963953878</v>
      </c>
      <c r="J8" s="21" t="n">
        <f aca="false">'Gainsay economics · Gainsay ope'!J33+('Gainsay drivers · Gainsay fixed'!B20-'Gainsay drivers · Gainsay data-'!B7)*IF(IF(IFERROR(YEAR(DATE(2027,6,1))=2026=TRUE(),FALSE()),TRUE(),IF(IFERROR(MONTH(DATE(2027,6,1))&lt;10=TRUE(),FALSE()),TRUE(),OR(YEAR(DATE(2027,6,1))=2026,MONTH(DATE(2027,6,1))&lt;10))),1,2)</f>
        <v>2220.11396788509</v>
      </c>
      <c r="K8" s="21" t="n">
        <f aca="false">'Gainsay economics · Gainsay ope'!K33+('Gainsay drivers · Gainsay fixed'!B20-'Gainsay drivers · Gainsay data-'!B7)*IF(IF(IFERROR(YEAR(DATE(2027,7,1))=2026=TRUE(),FALSE()),TRUE(),IF(IFERROR(MONTH(DATE(2027,7,1))&lt;10=TRUE(),FALSE()),TRUE(),OR(YEAR(DATE(2027,7,1))=2026,MONTH(DATE(2027,7,1))&lt;10))),1,2)</f>
        <v>2446.80098225764</v>
      </c>
      <c r="L8" s="21" t="n">
        <f aca="false">'Gainsay economics · Gainsay ope'!L33+('Gainsay drivers · Gainsay fixed'!B20-'Gainsay drivers · Gainsay data-'!B7)*IF(IF(IFERROR(YEAR(DATE(2027,8,1))=2026=TRUE(),FALSE()),TRUE(),IF(IFERROR(MONTH(DATE(2027,8,1))&lt;10=TRUE(),FALSE()),TRUE(),OR(YEAR(DATE(2027,8,1))=2026,MONTH(DATE(2027,8,1))&lt;10))),1,2)</f>
        <v>2780.45770786947</v>
      </c>
      <c r="M8" s="21" t="n">
        <f aca="false">'Gainsay economics · Gainsay ope'!M33+('Gainsay drivers · Gainsay fixed'!B20-'Gainsay drivers · Gainsay data-'!B7)*IF(IF(IFERROR(YEAR(DATE(2027,9,1))=2026=TRUE(),FALSE()),TRUE(),IF(IFERROR(MONTH(DATE(2027,9,1))&lt;10=TRUE(),FALSE()),TRUE(),OR(YEAR(DATE(2027,9,1))=2026,MONTH(DATE(2027,9,1))&lt;10))),1,2)</f>
        <v>3224.70446946693</v>
      </c>
      <c r="N8" s="21" t="n">
        <f aca="false">'Gainsay economics · Gainsay ope'!N33+('Gainsay drivers · Gainsay fixed'!B20-'Gainsay drivers · Gainsay data-'!B7)*IF(IF(IFERROR(YEAR(DATE(2027,10,1))=2026=TRUE(),FALSE()),TRUE(),IF(IFERROR(MONTH(DATE(2027,10,1))&lt;10=TRUE(),FALSE()),TRUE(),OR(YEAR(DATE(2027,10,1))=2026,MONTH(DATE(2027,10,1))&lt;10))),1,2)</f>
        <v>3783.39445285813</v>
      </c>
      <c r="O8" s="21" t="n">
        <f aca="false">'Gainsay economics · Gainsay ope'!O33+('Gainsay drivers · Gainsay fixed'!B20-'Gainsay drivers · Gainsay data-'!B7)*IF(IF(IFERROR(YEAR(DATE(2027,11,1))=2026=TRUE(),FALSE()),TRUE(),IF(IFERROR(MONTH(DATE(2027,11,1))&lt;10=TRUE(),FALSE()),TRUE(),OR(YEAR(DATE(2027,11,1))=2026,MONTH(DATE(2027,11,1))&lt;10))),1,2)</f>
        <v>4460.62379262137</v>
      </c>
      <c r="P8" s="21" t="n">
        <f aca="false">'Gainsay economics · Gainsay ope'!P33+('Gainsay drivers · Gainsay fixed'!B20-'Gainsay drivers · Gainsay data-'!B7)*IF(IF(IFERROR(YEAR(DATE(2027,12,1))=2026=TRUE(),FALSE()),TRUE(),IF(IFERROR(MONTH(DATE(2027,12,1))&lt;10=TRUE(),FALSE()),TRUE(),OR(YEAR(DATE(2027,12,1))=2026,MONTH(DATE(2027,12,1))&lt;10))),1,2)</f>
        <v>4860.74221085915</v>
      </c>
    </row>
    <row r="9" customFormat="false" ht="18" hidden="false" customHeight="false" outlineLevel="0" collapsed="false">
      <c r="A9" s="9" t="s">
        <v>193</v>
      </c>
      <c r="B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C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D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E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F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G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H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I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J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K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L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M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N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O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  <c r="P9" s="21" t="n">
        <f aca="false">MAX(-MIN('Gainsay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ope'!O33,'Gainsay economics · Gainsay ope'!P33),0)</f>
        <v>2216.60554714187</v>
      </c>
    </row>
    <row r="10" customFormat="false" ht="18" hidden="false" customHeight="false" outlineLevel="0" collapsed="false">
      <c r="A10" s="7" t="s">
        <v>194</v>
      </c>
      <c r="B10" s="16" t="str">
        <f aca="false">""</f>
        <v/>
      </c>
      <c r="C10" s="16" t="str">
        <f aca="false">""</f>
        <v/>
      </c>
      <c r="D10" s="16" t="str">
        <f aca="false">""</f>
        <v/>
      </c>
      <c r="E10" s="16" t="str">
        <f aca="false">""</f>
        <v/>
      </c>
      <c r="F10" s="16" t="str">
        <f aca="false">""</f>
        <v/>
      </c>
      <c r="G10" s="16" t="str">
        <f aca="false">""</f>
        <v/>
      </c>
      <c r="H10" s="16" t="str">
        <f aca="false">""</f>
        <v/>
      </c>
      <c r="I10" s="16" t="str">
        <f aca="false">""</f>
        <v/>
      </c>
      <c r="J10" s="16" t="str">
        <f aca="false">""</f>
        <v/>
      </c>
      <c r="K10" s="16" t="str">
        <f aca="false">""</f>
        <v/>
      </c>
      <c r="L10" s="16" t="str">
        <f aca="false">""</f>
        <v/>
      </c>
      <c r="M10" s="16" t="str">
        <f aca="false">""</f>
        <v/>
      </c>
      <c r="N10" s="16" t="str">
        <f aca="false">""</f>
        <v/>
      </c>
      <c r="O10" s="16" t="str">
        <f aca="false">""</f>
        <v/>
      </c>
      <c r="P10" s="16" t="str">
        <f aca="false">""</f>
        <v/>
      </c>
    </row>
    <row r="11" customFormat="false" ht="18" hidden="false" customHeight="false" outlineLevel="1" collapsed="false">
      <c r="A11" s="24" t="s">
        <v>136</v>
      </c>
      <c r="B11" s="12" t="n">
        <f aca="false">'Gainsay economics · Gainsay ope'!B11+('Gainsay drivers · Gainsay fixed'!B20-'Gainsay drivers · Gainsay data-'!B5)/12</f>
        <v>-1440.52633333333</v>
      </c>
      <c r="C11" s="12" t="n">
        <f aca="false">'Gainsay economics · Gainsay ope'!C11+('Gainsay drivers · Gainsay fixed'!B20-'Gainsay drivers · Gainsay data-'!B5)/12</f>
        <v>-1357.08249333333</v>
      </c>
      <c r="D11" s="12" t="n">
        <f aca="false">'Gainsay economics · Gainsay ope'!D11+('Gainsay drivers · Gainsay fixed'!B20-'Gainsay drivers · Gainsay data-'!B5)/12</f>
        <v>-1271.73966603333</v>
      </c>
      <c r="E11" s="12" t="n">
        <f aca="false">'Gainsay economics · Gainsay ope'!E11+('Gainsay drivers · Gainsay fixed'!B20-'Gainsay drivers · Gainsay data-'!B5)/12</f>
        <v>-1184.33470592733</v>
      </c>
      <c r="F11" s="12" t="n">
        <f aca="false">'Gainsay economics · Gainsay ope'!F11+('Gainsay drivers · Gainsay fixed'!B20-'Gainsay drivers · Gainsay data-'!B5)/12</f>
        <v>-1094.69835611826</v>
      </c>
      <c r="G11" s="12" t="n">
        <f aca="false">'Gainsay economics · Gainsay ope'!G11+('Gainsay drivers · Gainsay fixed'!B20-'Gainsay drivers · Gainsay data-'!B5)/12</f>
        <v>-1002.6548813719</v>
      </c>
      <c r="H11" s="12" t="n">
        <f aca="false">'Gainsay economics · Gainsay ope'!H11+('Gainsay drivers · Gainsay fixed'!B20-'Gainsay drivers · Gainsay data-'!B5)/12</f>
        <v>-908.021684664793</v>
      </c>
      <c r="I11" s="12" t="n">
        <f aca="false">'Gainsay economics · Gainsay ope'!I11+('Gainsay drivers · Gainsay fixed'!B20-'Gainsay drivers · Gainsay data-'!B5)/12</f>
        <v>-810.608906345598</v>
      </c>
      <c r="J11" s="12" t="n">
        <f aca="false">'Gainsay economics · Gainsay ope'!J11+('Gainsay drivers · Gainsay fixed'!B20-'Gainsay drivers · Gainsay data-'!B5)/12</f>
        <v>-710.219004987017</v>
      </c>
      <c r="K11" s="12" t="n">
        <f aca="false">'Gainsay economics · Gainsay ope'!K11+('Gainsay drivers · Gainsay fixed'!B20-'Gainsay drivers · Gainsay data-'!B5)/12</f>
        <v>-606.646318960782</v>
      </c>
      <c r="L11" s="12" t="n">
        <f aca="false">'Gainsay economics · Gainsay ope'!L11+('Gainsay drivers · Gainsay fixed'!B20-'Gainsay drivers · Gainsay data-'!B5)/12</f>
        <v>-499.676607721504</v>
      </c>
      <c r="M11" s="12" t="n">
        <f aca="false">'Gainsay economics · Gainsay ope'!M11+('Gainsay drivers · Gainsay fixed'!B20-'Gainsay drivers · Gainsay data-'!B5)/12</f>
        <v>-389.08657173588</v>
      </c>
      <c r="N11" s="12" t="n">
        <f aca="false">'Gainsay economics · Gainsay ope'!N11+('Gainsay drivers · Gainsay fixed'!B20-'Gainsay drivers · Gainsay data-'!B5)/12</f>
        <v>-274.643349942127</v>
      </c>
      <c r="O11" s="12" t="n">
        <f aca="false">'Gainsay economics · Gainsay ope'!O11+('Gainsay drivers · Gainsay fixed'!B20-'Gainsay drivers · Gainsay data-'!B5)/12</f>
        <v>-156.103993570102</v>
      </c>
      <c r="P11" s="12" t="n">
        <f aca="false">'Gainsay economics · Gainsay ope'!P11+('Gainsay drivers · Gainsay fixed'!B20-'Gainsay drivers · Gainsay data-'!B5)/12</f>
        <v>-433.214915095551</v>
      </c>
    </row>
    <row r="12" customFormat="false" ht="18" hidden="false" customHeight="false" outlineLevel="1" collapsed="false">
      <c r="A12" s="24" t="s">
        <v>137</v>
      </c>
      <c r="B12" s="12" t="n">
        <f aca="false">'Gainsay economics · Gainsay ope'!B11+('Gainsay drivers · Gainsay fixed'!B20-'Gainsay drivers · Gainsay data-'!B6)/12</f>
        <v>-857.193</v>
      </c>
      <c r="C12" s="12" t="n">
        <f aca="false">'Gainsay economics · Gainsay ope'!C11+('Gainsay drivers · Gainsay fixed'!B20-'Gainsay drivers · Gainsay data-'!B6)/12</f>
        <v>-773.74916</v>
      </c>
      <c r="D12" s="12" t="n">
        <f aca="false">'Gainsay economics · Gainsay ope'!D11+('Gainsay drivers · Gainsay fixed'!B20-'Gainsay drivers · Gainsay data-'!B6)/12</f>
        <v>-688.4063327</v>
      </c>
      <c r="E12" s="12" t="n">
        <f aca="false">'Gainsay economics · Gainsay ope'!E11+('Gainsay drivers · Gainsay fixed'!B20-'Gainsay drivers · Gainsay data-'!B6)/12</f>
        <v>-601.001372594</v>
      </c>
      <c r="F12" s="12" t="n">
        <f aca="false">'Gainsay economics · Gainsay ope'!F11+('Gainsay drivers · Gainsay fixed'!B20-'Gainsay drivers · Gainsay data-'!B6)/12</f>
        <v>-511.36502278493</v>
      </c>
      <c r="G12" s="12" t="n">
        <f aca="false">'Gainsay economics · Gainsay ope'!G11+('Gainsay drivers · Gainsay fixed'!B20-'Gainsay drivers · Gainsay data-'!B6)/12</f>
        <v>-419.32154803857</v>
      </c>
      <c r="H12" s="12" t="n">
        <f aca="false">'Gainsay economics · Gainsay ope'!H11+('Gainsay drivers · Gainsay fixed'!B20-'Gainsay drivers · Gainsay data-'!B6)/12</f>
        <v>-324.688351331459</v>
      </c>
      <c r="I12" s="12" t="n">
        <f aca="false">'Gainsay economics · Gainsay ope'!I11+('Gainsay drivers · Gainsay fixed'!B20-'Gainsay drivers · Gainsay data-'!B6)/12</f>
        <v>-227.275573012265</v>
      </c>
      <c r="J12" s="12" t="n">
        <f aca="false">'Gainsay economics · Gainsay ope'!J11+('Gainsay drivers · Gainsay fixed'!B20-'Gainsay drivers · Gainsay data-'!B6)/12</f>
        <v>-126.885671653683</v>
      </c>
      <c r="K12" s="12" t="n">
        <f aca="false">'Gainsay economics · Gainsay ope'!K11+('Gainsay drivers · Gainsay fixed'!B20-'Gainsay drivers · Gainsay data-'!B6)/12</f>
        <v>-23.3129856274486</v>
      </c>
      <c r="L12" s="12" t="n">
        <f aca="false">'Gainsay economics · Gainsay ope'!L11+('Gainsay drivers · Gainsay fixed'!B20-'Gainsay drivers · Gainsay data-'!B6)/12</f>
        <v>83.6567256118299</v>
      </c>
      <c r="M12" s="12" t="n">
        <f aca="false">'Gainsay economics · Gainsay ope'!M11+('Gainsay drivers · Gainsay fixed'!B20-'Gainsay drivers · Gainsay data-'!B6)/12</f>
        <v>194.246761597453</v>
      </c>
      <c r="N12" s="12" t="n">
        <f aca="false">'Gainsay economics · Gainsay ope'!N11+('Gainsay drivers · Gainsay fixed'!B20-'Gainsay drivers · Gainsay data-'!B6)/12</f>
        <v>308.689983391206</v>
      </c>
      <c r="O12" s="12" t="n">
        <f aca="false">'Gainsay economics · Gainsay ope'!O11+('Gainsay drivers · Gainsay fixed'!B20-'Gainsay drivers · Gainsay data-'!B6)/12</f>
        <v>427.229339763231</v>
      </c>
      <c r="P12" s="12" t="n">
        <f aca="false">'Gainsay economics · Gainsay ope'!P11+('Gainsay drivers · Gainsay fixed'!B20-'Gainsay drivers · Gainsay data-'!B6)/12</f>
        <v>150.118418237783</v>
      </c>
    </row>
    <row r="13" customFormat="false" ht="18" hidden="false" customHeight="false" outlineLevel="1" collapsed="false">
      <c r="A13" s="24" t="s">
        <v>138</v>
      </c>
      <c r="B13" s="12" t="n">
        <f aca="false">'Gainsay economics · Gainsay ope'!B11+('Gainsay drivers · Gainsay fixed'!B20-'Gainsay drivers · Gainsay data-'!B7)/12</f>
        <v>-607.193</v>
      </c>
      <c r="C13" s="12" t="n">
        <f aca="false">'Gainsay economics · Gainsay ope'!C11+('Gainsay drivers · Gainsay fixed'!B20-'Gainsay drivers · Gainsay data-'!B7)/12</f>
        <v>-523.74916</v>
      </c>
      <c r="D13" s="12" t="n">
        <f aca="false">'Gainsay economics · Gainsay ope'!D11+('Gainsay drivers · Gainsay fixed'!B20-'Gainsay drivers · Gainsay data-'!B7)/12</f>
        <v>-438.4063327</v>
      </c>
      <c r="E13" s="12" t="n">
        <f aca="false">'Gainsay economics · Gainsay ope'!E11+('Gainsay drivers · Gainsay fixed'!B20-'Gainsay drivers · Gainsay data-'!B7)/12</f>
        <v>-351.001372594</v>
      </c>
      <c r="F13" s="12" t="n">
        <f aca="false">'Gainsay economics · Gainsay ope'!F11+('Gainsay drivers · Gainsay fixed'!B20-'Gainsay drivers · Gainsay data-'!B7)/12</f>
        <v>-261.36502278493</v>
      </c>
      <c r="G13" s="12" t="n">
        <f aca="false">'Gainsay economics · Gainsay ope'!G11+('Gainsay drivers · Gainsay fixed'!B20-'Gainsay drivers · Gainsay data-'!B7)/12</f>
        <v>-169.32154803857</v>
      </c>
      <c r="H13" s="12" t="n">
        <f aca="false">'Gainsay economics · Gainsay ope'!H11+('Gainsay drivers · Gainsay fixed'!B20-'Gainsay drivers · Gainsay data-'!B7)/12</f>
        <v>-74.6883513314593</v>
      </c>
      <c r="I13" s="12" t="n">
        <f aca="false">'Gainsay economics · Gainsay ope'!I11+('Gainsay drivers · Gainsay fixed'!B20-'Gainsay drivers · Gainsay data-'!B7)/12</f>
        <v>22.7244269877352</v>
      </c>
      <c r="J13" s="12" t="n">
        <f aca="false">'Gainsay economics · Gainsay ope'!J11+('Gainsay drivers · Gainsay fixed'!B20-'Gainsay drivers · Gainsay data-'!B7)/12</f>
        <v>123.114328346317</v>
      </c>
      <c r="K13" s="12" t="n">
        <f aca="false">'Gainsay economics · Gainsay ope'!K11+('Gainsay drivers · Gainsay fixed'!B20-'Gainsay drivers · Gainsay data-'!B7)/12</f>
        <v>226.687014372551</v>
      </c>
      <c r="L13" s="12" t="n">
        <f aca="false">'Gainsay economics · Gainsay ope'!L11+('Gainsay drivers · Gainsay fixed'!B20-'Gainsay drivers · Gainsay data-'!B7)/12</f>
        <v>333.65672561183</v>
      </c>
      <c r="M13" s="12" t="n">
        <f aca="false">'Gainsay economics · Gainsay ope'!M11+('Gainsay drivers · Gainsay fixed'!B20-'Gainsay drivers · Gainsay data-'!B7)/12</f>
        <v>444.246761597453</v>
      </c>
      <c r="N13" s="12" t="n">
        <f aca="false">'Gainsay economics · Gainsay ope'!N11+('Gainsay drivers · Gainsay fixed'!B20-'Gainsay drivers · Gainsay data-'!B7)/12</f>
        <v>558.689983391206</v>
      </c>
      <c r="O13" s="12" t="n">
        <f aca="false">'Gainsay economics · Gainsay ope'!O11+('Gainsay drivers · Gainsay fixed'!B20-'Gainsay drivers · Gainsay data-'!B7)/12</f>
        <v>677.229339763231</v>
      </c>
      <c r="P13" s="12" t="n">
        <f aca="false">'Gainsay economics · Gainsay ope'!P11+('Gainsay drivers · Gainsay fixed'!B20-'Gainsay drivers · Gainsay data-'!B7)/12</f>
        <v>400.118418237783</v>
      </c>
    </row>
    <row r="14" customFormat="false" ht="18" hidden="false" customHeight="false" outlineLevel="0" collapsed="false">
      <c r="A14" s="7" t="s">
        <v>195</v>
      </c>
      <c r="B14" s="16" t="str">
        <f aca="false">""</f>
        <v/>
      </c>
      <c r="C14" s="16" t="str">
        <f aca="false">""</f>
        <v/>
      </c>
      <c r="D14" s="16" t="str">
        <f aca="false">""</f>
        <v/>
      </c>
      <c r="E14" s="16" t="str">
        <f aca="false">""</f>
        <v/>
      </c>
      <c r="F14" s="16" t="str">
        <f aca="false">""</f>
        <v/>
      </c>
      <c r="G14" s="16" t="str">
        <f aca="false">""</f>
        <v/>
      </c>
      <c r="H14" s="16" t="str">
        <f aca="false">""</f>
        <v/>
      </c>
      <c r="I14" s="16" t="str">
        <f aca="false">""</f>
        <v/>
      </c>
      <c r="J14" s="16" t="str">
        <f aca="false">""</f>
        <v/>
      </c>
      <c r="K14" s="16" t="str">
        <f aca="false">""</f>
        <v/>
      </c>
      <c r="L14" s="16" t="str">
        <f aca="false">""</f>
        <v/>
      </c>
      <c r="M14" s="16" t="str">
        <f aca="false">""</f>
        <v/>
      </c>
      <c r="N14" s="16" t="str">
        <f aca="false">""</f>
        <v/>
      </c>
      <c r="O14" s="16" t="str">
        <f aca="false">""</f>
        <v/>
      </c>
      <c r="P14" s="16" t="str">
        <f aca="false">""</f>
        <v/>
      </c>
    </row>
    <row r="15" customFormat="false" ht="18" hidden="false" customHeight="false" outlineLevel="1" collapsed="false">
      <c r="A15" s="24" t="s">
        <v>136</v>
      </c>
      <c r="B15" s="12" t="n">
        <f aca="false">'Gainsay economics · Gainsay ope'!B12+('Gainsay drivers · Gainsay fixed'!B20-'Gainsay drivers · Gainsay data-'!B5)/12*(DATEDIF(DATE(2026,10,1),DATE(2026,10,1),"M")+1)</f>
        <v>3059.47366666667</v>
      </c>
      <c r="C15" s="12" t="n">
        <f aca="false">'Gainsay economics · Gainsay ope'!C12+('Gainsay drivers · Gainsay fixed'!B20-'Gainsay drivers · Gainsay data-'!B5)/12*(DATEDIF(DATE(2026,10,1),DATE(2026,11,1),"M")+1)</f>
        <v>1702.39117333333</v>
      </c>
      <c r="D15" s="12" t="n">
        <f aca="false">'Gainsay economics · Gainsay ope'!D12+('Gainsay drivers · Gainsay fixed'!B20-'Gainsay drivers · Gainsay data-'!B5)/12*(DATEDIF(DATE(2026,10,1),DATE(2026,12,1),"M")+1)</f>
        <v>430.6515073</v>
      </c>
      <c r="E15" s="12" t="n">
        <f aca="false">'Gainsay economics · Gainsay ope'!E12+('Gainsay drivers · Gainsay fixed'!B20-'Gainsay drivers · Gainsay data-'!B5)/12*(DATEDIF(DATE(2026,10,1),DATE(2027,1,1),"M")+1)</f>
        <v>-753.683198627333</v>
      </c>
      <c r="F15" s="12" t="n">
        <f aca="false">'Gainsay economics · Gainsay ope'!F12+('Gainsay drivers · Gainsay fixed'!B20-'Gainsay drivers · Gainsay data-'!B5)/12*(DATEDIF(DATE(2026,10,1),DATE(2027,2,1),"M")+1)</f>
        <v>-1848.3815547456</v>
      </c>
      <c r="G15" s="12" t="n">
        <f aca="false">'Gainsay economics · Gainsay ope'!G12+('Gainsay drivers · Gainsay fixed'!B20-'Gainsay drivers · Gainsay data-'!B5)/12*(DATEDIF(DATE(2026,10,1),DATE(2027,3,1),"M")+1)</f>
        <v>-2851.0364361175</v>
      </c>
      <c r="H15" s="12" t="n">
        <f aca="false">'Gainsay economics · Gainsay ope'!H12+('Gainsay drivers · Gainsay fixed'!B20-'Gainsay drivers · Gainsay data-'!B5)/12*(DATEDIF(DATE(2026,10,1),DATE(2027,4,1),"M")+1)</f>
        <v>-3759.05812078229</v>
      </c>
      <c r="I15" s="12" t="n">
        <f aca="false">'Gainsay economics · Gainsay ope'!I12+('Gainsay drivers · Gainsay fixed'!B20-'Gainsay drivers · Gainsay data-'!B5)/12*(DATEDIF(DATE(2026,10,1),DATE(2027,5,1),"M")+1)</f>
        <v>-4569.66702712789</v>
      </c>
      <c r="J15" s="12" t="n">
        <f aca="false">'Gainsay economics · Gainsay ope'!J12+('Gainsay drivers · Gainsay fixed'!B20-'Gainsay drivers · Gainsay data-'!B5)/12*(DATEDIF(DATE(2026,10,1),DATE(2027,6,1),"M")+1)</f>
        <v>-5279.88603211491</v>
      </c>
      <c r="K15" s="12" t="n">
        <f aca="false">'Gainsay economics · Gainsay ope'!K12+('Gainsay drivers · Gainsay fixed'!B20-'Gainsay drivers · Gainsay data-'!B5)/12*(DATEDIF(DATE(2026,10,1),DATE(2027,7,1),"M")+1)</f>
        <v>-5886.53235107569</v>
      </c>
      <c r="L15" s="12" t="n">
        <f aca="false">'Gainsay economics · Gainsay ope'!L12+('Gainsay drivers · Gainsay fixed'!B20-'Gainsay drivers · Gainsay data-'!B5)/12*(DATEDIF(DATE(2026,10,1),DATE(2027,8,1),"M")+1)</f>
        <v>-6386.20895879719</v>
      </c>
      <c r="M15" s="12" t="n">
        <f aca="false">'Gainsay economics · Gainsay ope'!M12+('Gainsay drivers · Gainsay fixed'!B20-'Gainsay drivers · Gainsay data-'!B5)/12*(DATEDIF(DATE(2026,10,1),DATE(2027,9,1),"M")+1)</f>
        <v>-6775.29553053307</v>
      </c>
      <c r="N15" s="12" t="n">
        <f aca="false">'Gainsay economics · Gainsay ope'!N12+('Gainsay drivers · Gainsay fixed'!B20-'Gainsay drivers · Gainsay data-'!B5)/12*(DATEDIF(DATE(2026,10,1),DATE(2027,10,1),"M")+1)</f>
        <v>-7049.9388804752</v>
      </c>
      <c r="O15" s="12" t="n">
        <f aca="false">'Gainsay economics · Gainsay ope'!O12+('Gainsay drivers · Gainsay fixed'!B20-'Gainsay drivers · Gainsay data-'!B5)/12*(DATEDIF(DATE(2026,10,1),DATE(2027,11,1),"M")+1)</f>
        <v>-7206.0428740453</v>
      </c>
      <c r="P15" s="12" t="n">
        <f aca="false">'Gainsay economics · Gainsay ope'!P12+('Gainsay drivers · Gainsay fixed'!B20-'Gainsay drivers · Gainsay data-'!B5)/12*(DATEDIF(DATE(2026,10,1),DATE(2027,12,1),"M")+1)</f>
        <v>-7639.25778914085</v>
      </c>
    </row>
    <row r="16" customFormat="false" ht="18" hidden="false" customHeight="false" outlineLevel="1" collapsed="false">
      <c r="A16" s="24" t="s">
        <v>137</v>
      </c>
      <c r="B16" s="12" t="n">
        <f aca="false">'Gainsay economics · Gainsay ope'!B12+('Gainsay drivers · Gainsay fixed'!B20-'Gainsay drivers · Gainsay data-'!B6)/12*(DATEDIF(DATE(2026,10,1),DATE(2026,10,1),"M")+1)</f>
        <v>3642.807</v>
      </c>
      <c r="C16" s="12" t="n">
        <f aca="false">'Gainsay economics · Gainsay ope'!C12+('Gainsay drivers · Gainsay fixed'!B20-'Gainsay drivers · Gainsay data-'!B6)/12*(DATEDIF(DATE(2026,10,1),DATE(2026,11,1),"M")+1)</f>
        <v>2869.05784</v>
      </c>
      <c r="D16" s="12" t="n">
        <f aca="false">'Gainsay economics · Gainsay ope'!D12+('Gainsay drivers · Gainsay fixed'!B20-'Gainsay drivers · Gainsay data-'!B6)/12*(DATEDIF(DATE(2026,10,1),DATE(2026,12,1),"M")+1)</f>
        <v>2180.6515073</v>
      </c>
      <c r="E16" s="12" t="n">
        <f aca="false">'Gainsay economics · Gainsay ope'!E12+('Gainsay drivers · Gainsay fixed'!B20-'Gainsay drivers · Gainsay data-'!B6)/12*(DATEDIF(DATE(2026,10,1),DATE(2027,1,1),"M")+1)</f>
        <v>1579.650134706</v>
      </c>
      <c r="F16" s="12" t="n">
        <f aca="false">'Gainsay economics · Gainsay ope'!F12+('Gainsay drivers · Gainsay fixed'!B20-'Gainsay drivers · Gainsay data-'!B6)/12*(DATEDIF(DATE(2026,10,1),DATE(2027,2,1),"M")+1)</f>
        <v>1068.28511192107</v>
      </c>
      <c r="G16" s="12" t="n">
        <f aca="false">'Gainsay economics · Gainsay ope'!G12+('Gainsay drivers · Gainsay fixed'!B20-'Gainsay drivers · Gainsay data-'!B6)/12*(DATEDIF(DATE(2026,10,1),DATE(2027,3,1),"M")+1)</f>
        <v>648.963563882501</v>
      </c>
      <c r="H16" s="12" t="n">
        <f aca="false">'Gainsay economics · Gainsay ope'!H12+('Gainsay drivers · Gainsay fixed'!B20-'Gainsay drivers · Gainsay data-'!B6)/12*(DATEDIF(DATE(2026,10,1),DATE(2027,4,1),"M")+1)</f>
        <v>324.275212551041</v>
      </c>
      <c r="I16" s="12" t="n">
        <f aca="false">'Gainsay economics · Gainsay ope'!I12+('Gainsay drivers · Gainsay fixed'!B20-'Gainsay drivers · Gainsay data-'!B6)/12*(DATEDIF(DATE(2026,10,1),DATE(2027,5,1),"M")+1)</f>
        <v>96.9996395387766</v>
      </c>
      <c r="J16" s="12" t="n">
        <f aca="false">'Gainsay economics · Gainsay ope'!J12+('Gainsay drivers · Gainsay fixed'!B20-'Gainsay drivers · Gainsay data-'!B6)/12*(DATEDIF(DATE(2026,10,1),DATE(2027,6,1),"M")+1)</f>
        <v>-29.8860321149067</v>
      </c>
      <c r="K16" s="12" t="n">
        <f aca="false">'Gainsay economics · Gainsay ope'!K12+('Gainsay drivers · Gainsay fixed'!B20-'Gainsay drivers · Gainsay data-'!B6)/12*(DATEDIF(DATE(2026,10,1),DATE(2027,7,1),"M")+1)</f>
        <v>-53.1990177423553</v>
      </c>
      <c r="L16" s="12" t="n">
        <f aca="false">'Gainsay economics · Gainsay ope'!L12+('Gainsay drivers · Gainsay fixed'!B20-'Gainsay drivers · Gainsay data-'!B6)/12*(DATEDIF(DATE(2026,10,1),DATE(2027,8,1),"M")+1)</f>
        <v>30.4577078694746</v>
      </c>
      <c r="M16" s="12" t="n">
        <f aca="false">'Gainsay economics · Gainsay ope'!M12+('Gainsay drivers · Gainsay fixed'!B20-'Gainsay drivers · Gainsay data-'!B6)/12*(DATEDIF(DATE(2026,10,1),DATE(2027,9,1),"M")+1)</f>
        <v>224.704469466928</v>
      </c>
      <c r="N16" s="12" t="n">
        <f aca="false">'Gainsay economics · Gainsay ope'!N12+('Gainsay drivers · Gainsay fixed'!B20-'Gainsay drivers · Gainsay data-'!B6)/12*(DATEDIF(DATE(2026,10,1),DATE(2027,10,1),"M")+1)</f>
        <v>533.394452858134</v>
      </c>
      <c r="O16" s="12" t="n">
        <f aca="false">'Gainsay economics · Gainsay ope'!O12+('Gainsay drivers · Gainsay fixed'!B20-'Gainsay drivers · Gainsay data-'!B6)/12*(DATEDIF(DATE(2026,10,1),DATE(2027,11,1),"M")+1)</f>
        <v>960.623792621365</v>
      </c>
      <c r="P16" s="12" t="n">
        <f aca="false">'Gainsay economics · Gainsay ope'!P12+('Gainsay drivers · Gainsay fixed'!B20-'Gainsay drivers · Gainsay data-'!B6)/12*(DATEDIF(DATE(2026,10,1),DATE(2027,12,1),"M")+1)</f>
        <v>1110.74221085915</v>
      </c>
    </row>
    <row r="17" customFormat="false" ht="18" hidden="false" customHeight="false" outlineLevel="1" collapsed="false">
      <c r="A17" s="24" t="s">
        <v>138</v>
      </c>
      <c r="B17" s="12" t="n">
        <f aca="false">'Gainsay economics · Gainsay ope'!B12+('Gainsay drivers · Gainsay fixed'!B20-'Gainsay drivers · Gainsay data-'!B7)/12*(DATEDIF(DATE(2026,10,1),DATE(2026,10,1),"M")+1)</f>
        <v>3892.807</v>
      </c>
      <c r="C17" s="12" t="n">
        <f aca="false">'Gainsay economics · Gainsay ope'!C12+('Gainsay drivers · Gainsay fixed'!B20-'Gainsay drivers · Gainsay data-'!B7)/12*(DATEDIF(DATE(2026,10,1),DATE(2026,11,1),"M")+1)</f>
        <v>3369.05784</v>
      </c>
      <c r="D17" s="12" t="n">
        <f aca="false">'Gainsay economics · Gainsay ope'!D12+('Gainsay drivers · Gainsay fixed'!B20-'Gainsay drivers · Gainsay data-'!B7)/12*(DATEDIF(DATE(2026,10,1),DATE(2026,12,1),"M")+1)</f>
        <v>2930.6515073</v>
      </c>
      <c r="E17" s="12" t="n">
        <f aca="false">'Gainsay economics · Gainsay ope'!E12+('Gainsay drivers · Gainsay fixed'!B20-'Gainsay drivers · Gainsay data-'!B7)/12*(DATEDIF(DATE(2026,10,1),DATE(2027,1,1),"M")+1)</f>
        <v>2579.650134706</v>
      </c>
      <c r="F17" s="12" t="n">
        <f aca="false">'Gainsay economics · Gainsay ope'!F12+('Gainsay drivers · Gainsay fixed'!B20-'Gainsay drivers · Gainsay data-'!B7)/12*(DATEDIF(DATE(2026,10,1),DATE(2027,2,1),"M")+1)</f>
        <v>2318.28511192107</v>
      </c>
      <c r="G17" s="12" t="n">
        <f aca="false">'Gainsay economics · Gainsay ope'!G12+('Gainsay drivers · Gainsay fixed'!B20-'Gainsay drivers · Gainsay data-'!B7)/12*(DATEDIF(DATE(2026,10,1),DATE(2027,3,1),"M")+1)</f>
        <v>2148.9635638825</v>
      </c>
      <c r="H17" s="12" t="n">
        <f aca="false">'Gainsay economics · Gainsay ope'!H12+('Gainsay drivers · Gainsay fixed'!B20-'Gainsay drivers · Gainsay data-'!B7)/12*(DATEDIF(DATE(2026,10,1),DATE(2027,4,1),"M")+1)</f>
        <v>2074.27521255104</v>
      </c>
      <c r="I17" s="12" t="n">
        <f aca="false">'Gainsay economics · Gainsay ope'!I12+('Gainsay drivers · Gainsay fixed'!B20-'Gainsay drivers · Gainsay data-'!B7)/12*(DATEDIF(DATE(2026,10,1),DATE(2027,5,1),"M")+1)</f>
        <v>2096.99963953878</v>
      </c>
      <c r="J17" s="12" t="n">
        <f aca="false">'Gainsay economics · Gainsay ope'!J12+('Gainsay drivers · Gainsay fixed'!B20-'Gainsay drivers · Gainsay data-'!B7)/12*(DATEDIF(DATE(2026,10,1),DATE(2027,6,1),"M")+1)</f>
        <v>2220.11396788509</v>
      </c>
      <c r="K17" s="12" t="n">
        <f aca="false">'Gainsay economics · Gainsay ope'!K12+('Gainsay drivers · Gainsay fixed'!B20-'Gainsay drivers · Gainsay data-'!B7)/12*(DATEDIF(DATE(2026,10,1),DATE(2027,7,1),"M")+1)</f>
        <v>2446.80098225764</v>
      </c>
      <c r="L17" s="12" t="n">
        <f aca="false">'Gainsay economics · Gainsay ope'!L12+('Gainsay drivers · Gainsay fixed'!B20-'Gainsay drivers · Gainsay data-'!B7)/12*(DATEDIF(DATE(2026,10,1),DATE(2027,8,1),"M")+1)</f>
        <v>2780.45770786947</v>
      </c>
      <c r="M17" s="12" t="n">
        <f aca="false">'Gainsay economics · Gainsay ope'!M12+('Gainsay drivers · Gainsay fixed'!B20-'Gainsay drivers · Gainsay data-'!B7)/12*(DATEDIF(DATE(2026,10,1),DATE(2027,9,1),"M")+1)</f>
        <v>3224.70446946693</v>
      </c>
      <c r="N17" s="12" t="n">
        <f aca="false">'Gainsay economics · Gainsay ope'!N12+('Gainsay drivers · Gainsay fixed'!B20-'Gainsay drivers · Gainsay data-'!B7)/12*(DATEDIF(DATE(2026,10,1),DATE(2027,10,1),"M")+1)</f>
        <v>3783.39445285813</v>
      </c>
      <c r="O17" s="12" t="n">
        <f aca="false">'Gainsay economics · Gainsay ope'!O12+('Gainsay drivers · Gainsay fixed'!B20-'Gainsay drivers · Gainsay data-'!B7)/12*(DATEDIF(DATE(2026,10,1),DATE(2027,11,1),"M")+1)</f>
        <v>4460.62379262137</v>
      </c>
      <c r="P17" s="12" t="n">
        <f aca="false">'Gainsay economics · Gainsay ope'!P12+('Gainsay drivers · Gainsay fixed'!B20-'Gainsay drivers · Gainsay data-'!B7)/12*(DATEDIF(DATE(2026,10,1),DATE(2027,12,1),"M")+1)</f>
        <v>4860.74221085915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9"/>
  </cols>
  <sheetData>
    <row r="1" customFormat="false" ht="31.5" hidden="false" customHeight="true" outlineLevel="0" collapsed="false">
      <c r="A1" s="3" t="s">
        <v>196</v>
      </c>
      <c r="B1" s="3"/>
      <c r="C1" s="3"/>
      <c r="D1" s="3"/>
    </row>
    <row r="2" customFormat="false" ht="19.5" hidden="false" customHeight="true" outlineLevel="0" collapsed="false">
      <c r="A2" s="4" t="s">
        <v>47</v>
      </c>
    </row>
    <row r="4" customFormat="false" ht="21.75" hidden="false" customHeight="true" outlineLevel="0" collapsed="false">
      <c r="A4" s="5" t="s">
        <v>48</v>
      </c>
      <c r="B4" s="6" t="s">
        <v>96</v>
      </c>
      <c r="C4" s="6" t="s">
        <v>197</v>
      </c>
      <c r="D4" s="6" t="s">
        <v>198</v>
      </c>
    </row>
    <row r="5" customFormat="false" ht="18" hidden="false" customHeight="false" outlineLevel="0" collapsed="false">
      <c r="A5" s="7" t="s">
        <v>149</v>
      </c>
      <c r="B5" s="19" t="n">
        <f aca="false">IF('Gainsay economics · Gainsay ope'!P5="","",'Gainsay economics · Gainsay ope'!P5)</f>
        <v>54.2128871352967</v>
      </c>
      <c r="C5" s="19" t="n">
        <f aca="false">IF('Model inputs'!Y8="","",'Model inputs'!Y8)</f>
        <v>229.245271118017</v>
      </c>
      <c r="D5" s="19" t="n">
        <f aca="false">IF('Model inputs'!Y7="","",'Model inputs'!Y7)</f>
        <v>10.7341753968049</v>
      </c>
    </row>
    <row r="6" customFormat="false" ht="18" hidden="false" customHeight="false" outlineLevel="0" collapsed="false">
      <c r="A6" s="9" t="s">
        <v>150</v>
      </c>
      <c r="B6" s="12" t="n">
        <f aca="false">'Gainsay business plan · Gainsay'!B5*'Gainsay drivers · Gainsay fixed'!B6</f>
        <v>1572.1737269236</v>
      </c>
      <c r="C6" s="12" t="n">
        <f aca="false">'Gainsay business plan · Gainsay'!C5*'Model inputs'!AA36</f>
        <v>6648.11286242248</v>
      </c>
      <c r="D6" s="12" t="n">
        <f aca="false">'Gainsay business plan · Gainsay'!D5*'Model inputs'!AA35</f>
        <v>311.291086507343</v>
      </c>
    </row>
    <row r="7" customFormat="false" ht="18" hidden="false" customHeight="false" outlineLevel="0" collapsed="false">
      <c r="A7" s="9" t="s">
        <v>141</v>
      </c>
      <c r="B7" s="12" t="n">
        <f aca="false">'Gainsay business plan · Gainsay'!B6+'Gainsay economics · Gainsay ope'!P17</f>
        <v>1750.36757087315</v>
      </c>
      <c r="C7" s="12" t="n">
        <f aca="false">'Gainsay business plan · Gainsay'!C6+'Model inputs'!Y22</f>
        <v>7331.66256287232</v>
      </c>
      <c r="D7" s="12" t="n">
        <f aca="false">'Gainsay business plan · Gainsay'!D6+'Model inputs'!Y21</f>
        <v>356.291086507343</v>
      </c>
    </row>
    <row r="8" customFormat="false" ht="18" hidden="false" customHeight="false" outlineLevel="0" collapsed="false">
      <c r="A8" s="9" t="s">
        <v>199</v>
      </c>
      <c r="B8" s="21" t="n">
        <f aca="false">SUM('Gainsay business plan · Gainsay'!B7,'Gainsay economics · Gainsay ope'!E7,'Gainsay economics · Gainsay ope'!F7,'Gainsay economics · Gainsay ope'!G7,'Gainsay economics · Gainsay ope'!H7,'Gainsay economics · Gainsay ope'!I7,'Gainsay economics · Gainsay ope'!J7,'Gainsay economics · Gainsay ope'!K7,'Gainsay economics · Gainsay ope'!L7,'Gainsay economics · Gainsay ope'!M7,'Gainsay economics · Gainsay ope'!N7,'Gainsay economics · Gainsay ope'!O7)</f>
        <v>12873.4376582699</v>
      </c>
      <c r="C8" s="21" t="n">
        <f aca="false">SUM('Gainsay business plan · Gainsay'!C7,'Model inputs'!N121,'Model inputs'!O121,'Model inputs'!P121,'Model inputs'!Q121,'Model inputs'!R121,'Model inputs'!S121,'Model inputs'!T121,'Model inputs'!U121,'Model inputs'!V121,'Model inputs'!W121,'Model inputs'!X121)</f>
        <v>46458.3152984623</v>
      </c>
      <c r="D8" s="21" t="n">
        <f aca="false">SUM('Gainsay business plan · Gainsay'!D7,'Model inputs'!N120,'Model inputs'!O120,'Model inputs'!P120,'Model inputs'!Q120,'Model inputs'!R120,'Model inputs'!S120,'Model inputs'!T120,'Model inputs'!U120,'Model inputs'!V120,'Model inputs'!W120,'Model inputs'!X120)</f>
        <v>3157.19685636048</v>
      </c>
    </row>
    <row r="9" customFormat="false" ht="18" hidden="false" customHeight="false" outlineLevel="0" collapsed="false">
      <c r="A9" s="9" t="s">
        <v>163</v>
      </c>
      <c r="B9" s="12" t="n">
        <f aca="false">'Gainsay economics · Gainsay ope'!P26-'Gainsay economics · Gainsay ope'!P28</f>
        <v>650.118418237783</v>
      </c>
      <c r="C9" s="12" t="n">
        <f aca="false">'Model inputs'!Y61-'Model inputs'!Y83</f>
        <v>5430.54491405168</v>
      </c>
      <c r="D9" s="12" t="n">
        <f aca="false">'Model inputs'!Y60-'Model inputs'!Y82</f>
        <v>-143.447806842596</v>
      </c>
    </row>
    <row r="10" customFormat="false" ht="18" hidden="false" customHeight="false" outlineLevel="0" collapsed="false">
      <c r="A10" s="9" t="s">
        <v>167</v>
      </c>
      <c r="B10" s="12" t="n">
        <f aca="false">'Gainsay economics · Gainsay ope'!O33+'Gainsay economics · Gainsay ope'!P32</f>
        <v>-1139.25778914085</v>
      </c>
      <c r="C10" s="12" t="n">
        <f aca="false">'Model inputs'!X39+'Model inputs'!Y76</f>
        <v>23308.1975097031</v>
      </c>
      <c r="D10" s="12" t="n">
        <f aca="false">'Model inputs'!X38+'Model inputs'!Y75</f>
        <v>-9093.26166999067</v>
      </c>
    </row>
    <row r="11" customFormat="false" ht="18" hidden="false" customHeight="false" outlineLevel="0" collapsed="false">
      <c r="A11" s="9" t="s">
        <v>193</v>
      </c>
      <c r="B11" s="22" t="n">
        <f aca="false">MAX(-MIN('Gainsay business plan · Gainsay'!B10,'Gainsay economics · Gainsay ope'!B33,'Gainsay economics · Gainsay ope'!C33,'Gainsay economics · Gainsay ope'!D33,'Gainsay economics · Gainsay ope'!E33,'Gainsay economics · Gainsay ope'!F33,'Gainsay economics · Gainsay ope'!G33,'Gainsay economics · Gainsay ope'!H33,'Gainsay economics · Gainsay ope'!I33,'Gainsay economics · Gainsay ope'!J33,'Gainsay economics · Gainsay ope'!K33,'Gainsay economics · Gainsay ope'!L33,'Gainsay economics · Gainsay ope'!M33,'Gainsay economics · Gainsay ope'!N33,'Gainsay economics · Gainsay ope'!O33),0)</f>
        <v>2216.60554714187</v>
      </c>
      <c r="C11" s="22" t="n">
        <f aca="false">MAX(-MIN('Gainsay business plan · Gainsay'!C10,'Model inputs'!K39,'Model inputs'!L39,'Model inputs'!M39,'Model inputs'!N39,'Model inputs'!O39,'Model inputs'!P39,'Model inputs'!Q39,'Model inputs'!R39,'Model inputs'!S39,'Model inputs'!T39,'Model inputs'!U39,'Model inputs'!V39,'Model inputs'!W39,'Model inputs'!X39),0)</f>
        <v>0</v>
      </c>
      <c r="D11" s="22" t="n">
        <f aca="false">MAX(-MIN('Gainsay business plan · Gainsay'!D10,'Model inputs'!K38,'Model inputs'!L38,'Model inputs'!M38,'Model inputs'!N38,'Model inputs'!O38,'Model inputs'!P38,'Model inputs'!Q38,'Model inputs'!R38,'Model inputs'!S38,'Model inputs'!T38,'Model inputs'!U38,'Model inputs'!V38,'Model inputs'!W38,'Model inputs'!X38),0)</f>
        <v>9093.26166999067</v>
      </c>
    </row>
    <row r="12" customFormat="false" ht="18" hidden="false" customHeight="false" outlineLevel="0" collapsed="false">
      <c r="A12" s="7" t="s">
        <v>168</v>
      </c>
      <c r="B12" s="19" t="n">
        <f aca="false">('Gainsay economics · Gainsay ope'!P20+'Gainsay economics · Gainsay ope'!P21)*'Gainsay drivers · Gainsay fixed'!B12+'Gainsay business plan · Gainsay'!B5*'Gainsay drivers · Gainsay fixed'!B14*DAY(EOMONTH(DATE(2027,12,1),0))</f>
        <v>11856.3558197433</v>
      </c>
      <c r="C12" s="19" t="n">
        <f aca="false">('Model inputs'!Y86+'Model inputs'!Y56)*'Model inputs'!AA14+'Gainsay business plan · Gainsay'!C5*'Model inputs'!AA96*DAY(EOMONTH(DATE(2027,12,1),0))</f>
        <v>45717.4390313462</v>
      </c>
      <c r="D12" s="19" t="n">
        <f aca="false">('Model inputs'!Y85+'Model inputs'!Y55)*'Model inputs'!AA13+'Gainsay business plan · Gainsay'!D5*'Model inputs'!AA95*DAY(EOMONTH(DATE(2027,12,1),0))</f>
        <v>3385.54399285364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1" outlineLevelCol="0"/>
  <cols>
    <col collapsed="false" customWidth="true" hidden="false" outlineLevel="0" max="1" min="1" style="0" width="42"/>
    <col collapsed="false" customWidth="true" hidden="false" outlineLevel="0" max="27" min="2" style="0" width="19"/>
  </cols>
  <sheetData>
    <row r="1" customFormat="false" ht="31.5" hidden="false" customHeight="true" outlineLevel="0" collapsed="false">
      <c r="A1" s="3" t="s">
        <v>200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9.5" hidden="false" customHeight="true" outlineLevel="0" collapsed="false">
      <c r="A2" s="25" t="s">
        <v>201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4" customFormat="false" ht="18" hidden="false" customHeight="false" outlineLevel="0" collapsed="false">
      <c r="A4" s="26" t="s">
        <v>202</v>
      </c>
    </row>
    <row r="5" customFormat="false" ht="21.75" hidden="false" customHeight="true" outlineLevel="0" collapsed="false">
      <c r="A5" s="5" t="s">
        <v>203</v>
      </c>
      <c r="B5" s="14" t="s">
        <v>204</v>
      </c>
      <c r="C5" s="6" t="s">
        <v>205</v>
      </c>
      <c r="D5" s="6" t="s">
        <v>206</v>
      </c>
      <c r="E5" s="14" t="s">
        <v>207</v>
      </c>
      <c r="F5" s="6" t="s">
        <v>208</v>
      </c>
      <c r="G5" s="6" t="s">
        <v>209</v>
      </c>
      <c r="H5" s="14" t="s">
        <v>210</v>
      </c>
      <c r="I5" s="6" t="s">
        <v>211</v>
      </c>
      <c r="J5" s="6" t="s">
        <v>212</v>
      </c>
      <c r="K5" s="14" t="s">
        <v>82</v>
      </c>
      <c r="L5" s="6" t="s">
        <v>83</v>
      </c>
      <c r="M5" s="6" t="s">
        <v>84</v>
      </c>
      <c r="N5" s="14" t="s">
        <v>85</v>
      </c>
      <c r="O5" s="6" t="s">
        <v>86</v>
      </c>
      <c r="P5" s="6" t="s">
        <v>87</v>
      </c>
      <c r="Q5" s="14" t="s">
        <v>88</v>
      </c>
      <c r="R5" s="6" t="s">
        <v>89</v>
      </c>
      <c r="S5" s="6" t="s">
        <v>90</v>
      </c>
      <c r="T5" s="14" t="s">
        <v>91</v>
      </c>
      <c r="U5" s="6" t="s">
        <v>92</v>
      </c>
      <c r="V5" s="6" t="s">
        <v>93</v>
      </c>
      <c r="W5" s="14" t="s">
        <v>94</v>
      </c>
      <c r="X5" s="6" t="s">
        <v>95</v>
      </c>
      <c r="Y5" s="6" t="s">
        <v>96</v>
      </c>
      <c r="Z5" s="6" t="s">
        <v>49</v>
      </c>
      <c r="AA5" s="6" t="s">
        <v>49</v>
      </c>
    </row>
    <row r="6" customFormat="false" ht="18" hidden="false" customHeight="false" outlineLevel="0" collapsed="false">
      <c r="A6" s="27" t="s">
        <v>213</v>
      </c>
      <c r="B6" s="22" t="n">
        <v>0</v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f aca="false">'Model inputs'!J6*(1-'Model inputs'!K141)+'Model inputs'!K142</f>
        <v>3</v>
      </c>
      <c r="L6" s="22" t="n">
        <f aca="false">'Model inputs'!K6*(1-'Model inputs'!L141)+'Model inputs'!L142</f>
        <v>6.06</v>
      </c>
      <c r="M6" s="22" t="n">
        <f aca="false">'Model inputs'!L6*(1-'Model inputs'!M141)+'Model inputs'!M142</f>
        <v>9.1857</v>
      </c>
      <c r="N6" s="22" t="n">
        <f aca="false">'Model inputs'!M6*(1-'Model inputs'!N141)+'Model inputs'!N142</f>
        <v>12.383004</v>
      </c>
      <c r="O6" s="22" t="n">
        <f aca="false">'Model inputs'!N6*(1-'Model inputs'!O141)+'Model inputs'!O142</f>
        <v>15.65803263</v>
      </c>
      <c r="P6" s="22" t="n">
        <f aca="false">'Model inputs'!O6*(1-'Model inputs'!P141)+'Model inputs'!P142</f>
        <v>19.0171363386</v>
      </c>
      <c r="Q6" s="22" t="n">
        <f aca="false">'Model inputs'!P6*(1-'Model inputs'!Q141)+'Model inputs'!Q142</f>
        <v>22.466909170317</v>
      </c>
      <c r="R6" s="22" t="n">
        <f aca="false">'Model inputs'!Q6*(1-'Model inputs'!R141)+'Model inputs'!R142</f>
        <v>26.0142031631762</v>
      </c>
      <c r="S6" s="22" t="n">
        <f aca="false">'Model inputs'!R6*(1-'Model inputs'!S141)+'Model inputs'!S142</f>
        <v>29.6661433996482</v>
      </c>
      <c r="T6" s="22" t="n">
        <f aca="false">'Model inputs'!S6*(1-'Model inputs'!T141)+'Model inputs'!T142</f>
        <v>33.4301437455943</v>
      </c>
      <c r="U6" s="22" t="n">
        <f aca="false">'Model inputs'!T6*(1-'Model inputs'!U141)+'Model inputs'!U142</f>
        <v>37.3139233135588</v>
      </c>
      <c r="V6" s="22" t="n">
        <f aca="false">'Model inputs'!U6*(1-'Model inputs'!V141)+'Model inputs'!V142</f>
        <v>41.3255236885009</v>
      </c>
      <c r="W6" s="22" t="n">
        <f aca="false">'Model inputs'!V6*(1-'Model inputs'!W141)+'Model inputs'!W142</f>
        <v>45.4733269559123</v>
      </c>
      <c r="X6" s="22" t="n">
        <f aca="false">'Model inputs'!W6*(1-'Model inputs'!X141)+'Model inputs'!X142</f>
        <v>49.7660745742046</v>
      </c>
      <c r="Y6" s="22" t="n">
        <f aca="false">'Model inputs'!X6*(1-'Model inputs'!Y141)+'Model inputs'!Y142</f>
        <v>54.2128871352967</v>
      </c>
    </row>
    <row r="7" customFormat="false" ht="18" hidden="false" customHeight="false" outlineLevel="0" collapsed="false">
      <c r="A7" s="27" t="s">
        <v>214</v>
      </c>
      <c r="B7" s="22" t="n">
        <v>0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f aca="false">'Model inputs'!J7*(1-'Model inputs'!K184)+'Model inputs'!K187</f>
        <v>1</v>
      </c>
      <c r="L7" s="22" t="n">
        <f aca="false">'Model inputs'!K7*(1-'Model inputs'!L184)+'Model inputs'!L187</f>
        <v>1.95</v>
      </c>
      <c r="M7" s="22" t="n">
        <f aca="false">'Model inputs'!L7*(1-'Model inputs'!M184)+'Model inputs'!M187</f>
        <v>2.8525</v>
      </c>
      <c r="N7" s="22" t="n">
        <f aca="false">'Model inputs'!M7*(1-'Model inputs'!N184)+'Model inputs'!N187</f>
        <v>3.709875</v>
      </c>
      <c r="O7" s="22" t="n">
        <f aca="false">'Model inputs'!N7*(1-'Model inputs'!O184)+'Model inputs'!O187</f>
        <v>4.52438125</v>
      </c>
      <c r="P7" s="22" t="n">
        <f aca="false">'Model inputs'!O7*(1-'Model inputs'!P184)+'Model inputs'!P187</f>
        <v>5.2981621875</v>
      </c>
      <c r="Q7" s="22" t="n">
        <f aca="false">'Model inputs'!P7*(1-'Model inputs'!Q184)+'Model inputs'!Q187</f>
        <v>6.033254078125</v>
      </c>
      <c r="R7" s="22" t="n">
        <f aca="false">'Model inputs'!Q7*(1-'Model inputs'!R184)+'Model inputs'!R187</f>
        <v>6.73159137421875</v>
      </c>
      <c r="S7" s="22" t="n">
        <f aca="false">'Model inputs'!R7*(1-'Model inputs'!S184)+'Model inputs'!S187</f>
        <v>7.39501180550781</v>
      </c>
      <c r="T7" s="22" t="n">
        <f aca="false">'Model inputs'!S7*(1-'Model inputs'!T184)+'Model inputs'!T187</f>
        <v>8.02526121523242</v>
      </c>
      <c r="U7" s="22" t="n">
        <f aca="false">'Model inputs'!T7*(1-'Model inputs'!U184)+'Model inputs'!U187</f>
        <v>8.6239981544708</v>
      </c>
      <c r="V7" s="22" t="n">
        <f aca="false">'Model inputs'!U7*(1-'Model inputs'!V184)+'Model inputs'!V187</f>
        <v>9.19279824674726</v>
      </c>
      <c r="W7" s="22" t="n">
        <f aca="false">'Model inputs'!V7*(1-'Model inputs'!W184)+'Model inputs'!W187</f>
        <v>9.7331583344099</v>
      </c>
      <c r="X7" s="22" t="n">
        <f aca="false">'Model inputs'!W7*(1-'Model inputs'!X184)+'Model inputs'!X187</f>
        <v>10.2465004176894</v>
      </c>
      <c r="Y7" s="22" t="n">
        <f aca="false">'Model inputs'!X7*(1-'Model inputs'!Y184)+'Model inputs'!Y187</f>
        <v>10.7341753968049</v>
      </c>
    </row>
    <row r="8" customFormat="false" ht="18" hidden="false" customHeight="false" outlineLevel="0" collapsed="false">
      <c r="A8" s="27" t="s">
        <v>215</v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f aca="false">'Model inputs'!J8*(1-'Model inputs'!K185)+'Model inputs'!K188</f>
        <v>8</v>
      </c>
      <c r="L8" s="22" t="n">
        <f aca="false">'Model inputs'!K8*(1-'Model inputs'!L185)+'Model inputs'!L188</f>
        <v>16.64</v>
      </c>
      <c r="M8" s="22" t="n">
        <f aca="false">'Model inputs'!L8*(1-'Model inputs'!M185)+'Model inputs'!M188</f>
        <v>25.9872</v>
      </c>
      <c r="N8" s="22" t="n">
        <f aca="false">'Model inputs'!M8*(1-'Model inputs'!N185)+'Model inputs'!N188</f>
        <v>36.115456</v>
      </c>
      <c r="O8" s="22" t="n">
        <f aca="false">'Model inputs'!N8*(1-'Model inputs'!O185)+'Model inputs'!O188</f>
        <v>47.10594688</v>
      </c>
      <c r="P8" s="22" t="n">
        <f aca="false">'Model inputs'!O8*(1-'Model inputs'!P185)+'Model inputs'!P188</f>
        <v>59.0479079424</v>
      </c>
      <c r="Q8" s="22" t="n">
        <f aca="false">'Model inputs'!P8*(1-'Model inputs'!Q185)+'Model inputs'!Q188</f>
        <v>72.039437783552</v>
      </c>
      <c r="R8" s="22" t="n">
        <f aca="false">'Model inputs'!Q8*(1-'Model inputs'!R185)+'Model inputs'!R188</f>
        <v>86.188385827881</v>
      </c>
      <c r="S8" s="22" t="n">
        <f aca="false">'Model inputs'!R8*(1-'Model inputs'!S185)+'Model inputs'!S188</f>
        <v>101.613328591323</v>
      </c>
      <c r="T8" s="22" t="n">
        <f aca="false">'Model inputs'!S8*(1-'Model inputs'!T185)+'Model inputs'!T188</f>
        <v>118.444643547497</v>
      </c>
      <c r="U8" s="22" t="n">
        <f aca="false">'Model inputs'!T8*(1-'Model inputs'!U185)+'Model inputs'!U188</f>
        <v>136.825690357347</v>
      </c>
      <c r="V8" s="22" t="n">
        <f aca="false">'Model inputs'!U8*(1-'Model inputs'!V185)+'Model inputs'!V188</f>
        <v>156.91411019908</v>
      </c>
      <c r="W8" s="22" t="n">
        <f aca="false">'Model inputs'!V8*(1-'Model inputs'!W185)+'Model inputs'!W188</f>
        <v>178.883255008867</v>
      </c>
      <c r="X8" s="22" t="n">
        <f aca="false">'Model inputs'!W8*(1-'Model inputs'!X185)+'Model inputs'!X188</f>
        <v>202.923759623834</v>
      </c>
      <c r="Y8" s="22" t="n">
        <f aca="false">'Model inputs'!X8*(1-'Model inputs'!Y185)+'Model inputs'!Y188</f>
        <v>229.245271118017</v>
      </c>
    </row>
    <row r="9" customFormat="false" ht="18" hidden="false" customHeight="false" outlineLevel="0" collapsed="false">
      <c r="A9" s="27" t="s">
        <v>216</v>
      </c>
      <c r="Z9" s="12" t="n">
        <f aca="false">'Gainsay drivers · Gainsay fixed'!B20</f>
        <v>3000</v>
      </c>
    </row>
    <row r="10" customFormat="false" ht="18" hidden="false" customHeight="false" outlineLevel="0" collapsed="false">
      <c r="A10" s="27" t="s">
        <v>217</v>
      </c>
      <c r="AA10" s="12" t="n">
        <f aca="false">'Gainsay drivers · Gainsay fixed'!B20</f>
        <v>3000</v>
      </c>
    </row>
    <row r="11" customFormat="false" ht="18" hidden="false" customHeight="false" outlineLevel="0" collapsed="false">
      <c r="A11" s="27" t="s">
        <v>218</v>
      </c>
      <c r="Z11" s="22" t="n">
        <f aca="false">'Gainsay drivers · Gainsay fixed'!B12</f>
        <v>2</v>
      </c>
    </row>
    <row r="12" customFormat="false" ht="18" hidden="false" customHeight="false" outlineLevel="0" collapsed="false">
      <c r="A12" s="27" t="s">
        <v>219</v>
      </c>
      <c r="AA12" s="22" t="n">
        <f aca="false">'Gainsay drivers · Gainsay fixed'!B12</f>
        <v>2</v>
      </c>
    </row>
    <row r="13" customFormat="false" ht="18" hidden="false" customHeight="false" outlineLevel="0" collapsed="false">
      <c r="A13" s="27" t="s">
        <v>220</v>
      </c>
      <c r="AA13" s="22" t="n">
        <f aca="false">'Gainsay drivers · Gainsay fixed'!B12</f>
        <v>2</v>
      </c>
    </row>
    <row r="14" customFormat="false" ht="18" hidden="false" customHeight="false" outlineLevel="0" collapsed="false">
      <c r="A14" s="27" t="s">
        <v>221</v>
      </c>
      <c r="AA14" s="22" t="n">
        <f aca="false">'Gainsay drivers · Gainsay fixed'!B12</f>
        <v>2</v>
      </c>
    </row>
    <row r="15" customFormat="false" ht="18" hidden="false" customHeight="false" outlineLevel="0" collapsed="false">
      <c r="A15" s="27" t="s">
        <v>222</v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f aca="false">IF(IF(IF(ISERROR('Model inputs'!K113&gt;'Model inputs'!AA117),'Model inputs'!K113&gt;'Model inputs'!AA117,IF(OR('Model inputs'!K113="",'Model inputs'!AA117=""),"",'Model inputs'!K113&gt;'Model inputs'!AA117))="",FALSE(),IF(ISERROR('Model inputs'!K113&gt;'Model inputs'!AA117),'Model inputs'!K113&gt;'Model inputs'!AA117,IF(OR('Model inputs'!K113="",'Model inputs'!AA117=""),"",'Model inputs'!K113&gt;'Model inputs'!AA117))),1,0)</f>
        <v>0</v>
      </c>
      <c r="L15" s="22" t="n">
        <f aca="false">IF(IF(IF(ISERROR('Model inputs'!L113&gt;'Model inputs'!AA117),'Model inputs'!L113&gt;'Model inputs'!AA117,IF(OR('Model inputs'!L113="",'Model inputs'!AA117=""),"",'Model inputs'!L113&gt;'Model inputs'!AA117))="",FALSE(),IF(ISERROR('Model inputs'!L113&gt;'Model inputs'!AA117),'Model inputs'!L113&gt;'Model inputs'!AA117,IF(OR('Model inputs'!L113="",'Model inputs'!AA117=""),"",'Model inputs'!L113&gt;'Model inputs'!AA117))),1,0)</f>
        <v>0</v>
      </c>
      <c r="M15" s="22" t="n">
        <f aca="false">IF(IF(IF(ISERROR('Model inputs'!M113&gt;'Model inputs'!AA117),'Model inputs'!M113&gt;'Model inputs'!AA117,IF(OR('Model inputs'!M113="",'Model inputs'!AA117=""),"",'Model inputs'!M113&gt;'Model inputs'!AA117))="",FALSE(),IF(ISERROR('Model inputs'!M113&gt;'Model inputs'!AA117),'Model inputs'!M113&gt;'Model inputs'!AA117,IF(OR('Model inputs'!M113="",'Model inputs'!AA117=""),"",'Model inputs'!M113&gt;'Model inputs'!AA117))),1,0)</f>
        <v>0</v>
      </c>
      <c r="N15" s="22" t="n">
        <f aca="false">IF(IF(IF(ISERROR('Model inputs'!N113&gt;'Model inputs'!AA117),'Model inputs'!N113&gt;'Model inputs'!AA117,IF(OR('Model inputs'!N113="",'Model inputs'!AA117=""),"",'Model inputs'!N113&gt;'Model inputs'!AA117))="",FALSE(),IF(ISERROR('Model inputs'!N113&gt;'Model inputs'!AA117),'Model inputs'!N113&gt;'Model inputs'!AA117,IF(OR('Model inputs'!N113="",'Model inputs'!AA117=""),"",'Model inputs'!N113&gt;'Model inputs'!AA117))),1,0)</f>
        <v>1</v>
      </c>
      <c r="O15" s="22" t="n">
        <f aca="false">IF(IF(IF(ISERROR('Model inputs'!O113&gt;'Model inputs'!AA117),'Model inputs'!O113&gt;'Model inputs'!AA117,IF(OR('Model inputs'!O113="",'Model inputs'!AA117=""),"",'Model inputs'!O113&gt;'Model inputs'!AA117))="",FALSE(),IF(ISERROR('Model inputs'!O113&gt;'Model inputs'!AA117),'Model inputs'!O113&gt;'Model inputs'!AA117,IF(OR('Model inputs'!O113="",'Model inputs'!AA117=""),"",'Model inputs'!O113&gt;'Model inputs'!AA117))),1,0)</f>
        <v>1</v>
      </c>
      <c r="P15" s="22" t="n">
        <f aca="false">IF(IF(IF(ISERROR('Model inputs'!P113&gt;'Model inputs'!AA117),'Model inputs'!P113&gt;'Model inputs'!AA117,IF(OR('Model inputs'!P113="",'Model inputs'!AA117=""),"",'Model inputs'!P113&gt;'Model inputs'!AA117))="",FALSE(),IF(ISERROR('Model inputs'!P113&gt;'Model inputs'!AA117),'Model inputs'!P113&gt;'Model inputs'!AA117,IF(OR('Model inputs'!P113="",'Model inputs'!AA117=""),"",'Model inputs'!P113&gt;'Model inputs'!AA117))),1,0)</f>
        <v>1</v>
      </c>
      <c r="Q15" s="22" t="n">
        <f aca="false">IF(IF(IF(ISERROR('Model inputs'!Q113&gt;'Model inputs'!AA117),'Model inputs'!Q113&gt;'Model inputs'!AA117,IF(OR('Model inputs'!Q113="",'Model inputs'!AA117=""),"",'Model inputs'!Q113&gt;'Model inputs'!AA117))="",FALSE(),IF(ISERROR('Model inputs'!Q113&gt;'Model inputs'!AA117),'Model inputs'!Q113&gt;'Model inputs'!AA117,IF(OR('Model inputs'!Q113="",'Model inputs'!AA117=""),"",'Model inputs'!Q113&gt;'Model inputs'!AA117))),1,0)</f>
        <v>1</v>
      </c>
      <c r="R15" s="22" t="n">
        <f aca="false">IF(IF(IF(ISERROR('Model inputs'!R113&gt;'Model inputs'!AA117),'Model inputs'!R113&gt;'Model inputs'!AA117,IF(OR('Model inputs'!R113="",'Model inputs'!AA117=""),"",'Model inputs'!R113&gt;'Model inputs'!AA117))="",FALSE(),IF(ISERROR('Model inputs'!R113&gt;'Model inputs'!AA117),'Model inputs'!R113&gt;'Model inputs'!AA117,IF(OR('Model inputs'!R113="",'Model inputs'!AA117=""),"",'Model inputs'!R113&gt;'Model inputs'!AA117))),1,0)</f>
        <v>1</v>
      </c>
      <c r="S15" s="22" t="n">
        <f aca="false">IF(IF(IF(ISERROR('Model inputs'!S113&gt;'Model inputs'!AA117),'Model inputs'!S113&gt;'Model inputs'!AA117,IF(OR('Model inputs'!S113="",'Model inputs'!AA117=""),"",'Model inputs'!S113&gt;'Model inputs'!AA117))="",FALSE(),IF(ISERROR('Model inputs'!S113&gt;'Model inputs'!AA117),'Model inputs'!S113&gt;'Model inputs'!AA117,IF(OR('Model inputs'!S113="",'Model inputs'!AA117=""),"",'Model inputs'!S113&gt;'Model inputs'!AA117))),1,0)</f>
        <v>1</v>
      </c>
      <c r="T15" s="22" t="n">
        <f aca="false">IF(IF(IF(ISERROR('Model inputs'!T113&gt;'Model inputs'!AA117),'Model inputs'!T113&gt;'Model inputs'!AA117,IF(OR('Model inputs'!T113="",'Model inputs'!AA117=""),"",'Model inputs'!T113&gt;'Model inputs'!AA117))="",FALSE(),IF(ISERROR('Model inputs'!T113&gt;'Model inputs'!AA117),'Model inputs'!T113&gt;'Model inputs'!AA117,IF(OR('Model inputs'!T113="",'Model inputs'!AA117=""),"",'Model inputs'!T113&gt;'Model inputs'!AA117))),1,0)</f>
        <v>1</v>
      </c>
      <c r="U15" s="22" t="n">
        <f aca="false">IF(IF(IF(ISERROR('Model inputs'!U113&gt;'Model inputs'!AA117),'Model inputs'!U113&gt;'Model inputs'!AA117,IF(OR('Model inputs'!U113="",'Model inputs'!AA117=""),"",'Model inputs'!U113&gt;'Model inputs'!AA117))="",FALSE(),IF(ISERROR('Model inputs'!U113&gt;'Model inputs'!AA117),'Model inputs'!U113&gt;'Model inputs'!AA117,IF(OR('Model inputs'!U113="",'Model inputs'!AA117=""),"",'Model inputs'!U113&gt;'Model inputs'!AA117))),1,0)</f>
        <v>1</v>
      </c>
      <c r="V15" s="22" t="n">
        <f aca="false">IF(IF(IF(ISERROR('Model inputs'!V113&gt;'Model inputs'!AA117),'Model inputs'!V113&gt;'Model inputs'!AA117,IF(OR('Model inputs'!V113="",'Model inputs'!AA117=""),"",'Model inputs'!V113&gt;'Model inputs'!AA117))="",FALSE(),IF(ISERROR('Model inputs'!V113&gt;'Model inputs'!AA117),'Model inputs'!V113&gt;'Model inputs'!AA117,IF(OR('Model inputs'!V113="",'Model inputs'!AA117=""),"",'Model inputs'!V113&gt;'Model inputs'!AA117))),1,0)</f>
        <v>1</v>
      </c>
      <c r="W15" s="22" t="n">
        <f aca="false">IF(IF(IF(ISERROR('Model inputs'!W113&gt;'Model inputs'!AA117),'Model inputs'!W113&gt;'Model inputs'!AA117,IF(OR('Model inputs'!W113="",'Model inputs'!AA117=""),"",'Model inputs'!W113&gt;'Model inputs'!AA117))="",FALSE(),IF(ISERROR('Model inputs'!W113&gt;'Model inputs'!AA117),'Model inputs'!W113&gt;'Model inputs'!AA117,IF(OR('Model inputs'!W113="",'Model inputs'!AA117=""),"",'Model inputs'!W113&gt;'Model inputs'!AA117))),1,0)</f>
        <v>1</v>
      </c>
      <c r="X15" s="22" t="n">
        <f aca="false">IF(IF(IF(ISERROR('Model inputs'!X113&gt;'Model inputs'!AA117),'Model inputs'!X113&gt;'Model inputs'!AA117,IF(OR('Model inputs'!X113="",'Model inputs'!AA117=""),"",'Model inputs'!X113&gt;'Model inputs'!AA117))="",FALSE(),IF(ISERROR('Model inputs'!X113&gt;'Model inputs'!AA117),'Model inputs'!X113&gt;'Model inputs'!AA117,IF(OR('Model inputs'!X113="",'Model inputs'!AA117=""),"",'Model inputs'!X113&gt;'Model inputs'!AA117))),1,0)</f>
        <v>1</v>
      </c>
      <c r="Y15" s="22" t="n">
        <f aca="false">IF(IF(IF(ISERROR('Model inputs'!Y113&gt;'Model inputs'!AA117),'Model inputs'!Y113&gt;'Model inputs'!AA117,IF(OR('Model inputs'!Y113="",'Model inputs'!AA117=""),"",'Model inputs'!Y113&gt;'Model inputs'!AA117))="",FALSE(),IF(ISERROR('Model inputs'!Y113&gt;'Model inputs'!AA117),'Model inputs'!Y113&gt;'Model inputs'!AA117,IF(OR('Model inputs'!Y113="",'Model inputs'!AA117=""),"",'Model inputs'!Y113&gt;'Model inputs'!AA117))),1,0)</f>
        <v>1</v>
      </c>
    </row>
    <row r="16" customFormat="false" ht="18" hidden="false" customHeight="false" outlineLevel="0" collapsed="false">
      <c r="A16" s="27" t="s">
        <v>223</v>
      </c>
      <c r="B16" s="22" t="n">
        <v>0</v>
      </c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f aca="false">IF(IF(IF(ISERROR('Model inputs'!K114&gt;'Model inputs'!AA117),'Model inputs'!K114&gt;'Model inputs'!AA117,IF(OR('Model inputs'!K114="",'Model inputs'!AA117=""),"",'Model inputs'!K114&gt;'Model inputs'!AA117))="",FALSE(),IF(ISERROR('Model inputs'!K114&gt;'Model inputs'!AA117),'Model inputs'!K114&gt;'Model inputs'!AA117,IF(OR('Model inputs'!K114="",'Model inputs'!AA117=""),"",'Model inputs'!K114&gt;'Model inputs'!AA117))),1,0)</f>
        <v>0</v>
      </c>
      <c r="L16" s="22" t="n">
        <f aca="false">IF(IF(IF(ISERROR('Model inputs'!L114&gt;'Model inputs'!AA117),'Model inputs'!L114&gt;'Model inputs'!AA117,IF(OR('Model inputs'!L114="",'Model inputs'!AA117=""),"",'Model inputs'!L114&gt;'Model inputs'!AA117))="",FALSE(),IF(ISERROR('Model inputs'!L114&gt;'Model inputs'!AA117),'Model inputs'!L114&gt;'Model inputs'!AA117,IF(OR('Model inputs'!L114="",'Model inputs'!AA117=""),"",'Model inputs'!L114&gt;'Model inputs'!AA117))),1,0)</f>
        <v>0</v>
      </c>
      <c r="M16" s="22" t="n">
        <f aca="false">IF(IF(IF(ISERROR('Model inputs'!M114&gt;'Model inputs'!AA117),'Model inputs'!M114&gt;'Model inputs'!AA117,IF(OR('Model inputs'!M114="",'Model inputs'!AA117=""),"",'Model inputs'!M114&gt;'Model inputs'!AA117))="",FALSE(),IF(ISERROR('Model inputs'!M114&gt;'Model inputs'!AA117),'Model inputs'!M114&gt;'Model inputs'!AA117,IF(OR('Model inputs'!M114="",'Model inputs'!AA117=""),"",'Model inputs'!M114&gt;'Model inputs'!AA117))),1,0)</f>
        <v>0</v>
      </c>
      <c r="N16" s="22" t="n">
        <f aca="false">IF(IF(IF(ISERROR('Model inputs'!N114&gt;'Model inputs'!AA117),'Model inputs'!N114&gt;'Model inputs'!AA117,IF(OR('Model inputs'!N114="",'Model inputs'!AA117=""),"",'Model inputs'!N114&gt;'Model inputs'!AA117))="",FALSE(),IF(ISERROR('Model inputs'!N114&gt;'Model inputs'!AA117),'Model inputs'!N114&gt;'Model inputs'!AA117,IF(OR('Model inputs'!N114="",'Model inputs'!AA117=""),"",'Model inputs'!N114&gt;'Model inputs'!AA117))),1,0)</f>
        <v>0</v>
      </c>
      <c r="O16" s="22" t="n">
        <f aca="false">IF(IF(IF(ISERROR('Model inputs'!O114&gt;'Model inputs'!AA117),'Model inputs'!O114&gt;'Model inputs'!AA117,IF(OR('Model inputs'!O114="",'Model inputs'!AA117=""),"",'Model inputs'!O114&gt;'Model inputs'!AA117))="",FALSE(),IF(ISERROR('Model inputs'!O114&gt;'Model inputs'!AA117),'Model inputs'!O114&gt;'Model inputs'!AA117,IF(OR('Model inputs'!O114="",'Model inputs'!AA117=""),"",'Model inputs'!O114&gt;'Model inputs'!AA117))),1,0)</f>
        <v>0</v>
      </c>
      <c r="P16" s="22" t="n">
        <f aca="false">IF(IF(IF(ISERROR('Model inputs'!P114&gt;'Model inputs'!AA117),'Model inputs'!P114&gt;'Model inputs'!AA117,IF(OR('Model inputs'!P114="",'Model inputs'!AA117=""),"",'Model inputs'!P114&gt;'Model inputs'!AA117))="",FALSE(),IF(ISERROR('Model inputs'!P114&gt;'Model inputs'!AA117),'Model inputs'!P114&gt;'Model inputs'!AA117,IF(OR('Model inputs'!P114="",'Model inputs'!AA117=""),"",'Model inputs'!P114&gt;'Model inputs'!AA117))),1,0)</f>
        <v>0</v>
      </c>
      <c r="Q16" s="22" t="n">
        <f aca="false">IF(IF(IF(ISERROR('Model inputs'!Q114&gt;'Model inputs'!AA117),'Model inputs'!Q114&gt;'Model inputs'!AA117,IF(OR('Model inputs'!Q114="",'Model inputs'!AA117=""),"",'Model inputs'!Q114&gt;'Model inputs'!AA117))="",FALSE(),IF(ISERROR('Model inputs'!Q114&gt;'Model inputs'!AA117),'Model inputs'!Q114&gt;'Model inputs'!AA117,IF(OR('Model inputs'!Q114="",'Model inputs'!AA117=""),"",'Model inputs'!Q114&gt;'Model inputs'!AA117))),1,0)</f>
        <v>0</v>
      </c>
      <c r="R16" s="22" t="n">
        <f aca="false">IF(IF(IF(ISERROR('Model inputs'!R114&gt;'Model inputs'!AA117),'Model inputs'!R114&gt;'Model inputs'!AA117,IF(OR('Model inputs'!R114="",'Model inputs'!AA117=""),"",'Model inputs'!R114&gt;'Model inputs'!AA117))="",FALSE(),IF(ISERROR('Model inputs'!R114&gt;'Model inputs'!AA117),'Model inputs'!R114&gt;'Model inputs'!AA117,IF(OR('Model inputs'!R114="",'Model inputs'!AA117=""),"",'Model inputs'!R114&gt;'Model inputs'!AA117))),1,0)</f>
        <v>0</v>
      </c>
      <c r="S16" s="22" t="n">
        <f aca="false">IF(IF(IF(ISERROR('Model inputs'!S114&gt;'Model inputs'!AA117),'Model inputs'!S114&gt;'Model inputs'!AA117,IF(OR('Model inputs'!S114="",'Model inputs'!AA117=""),"",'Model inputs'!S114&gt;'Model inputs'!AA117))="",FALSE(),IF(ISERROR('Model inputs'!S114&gt;'Model inputs'!AA117),'Model inputs'!S114&gt;'Model inputs'!AA117,IF(OR('Model inputs'!S114="",'Model inputs'!AA117=""),"",'Model inputs'!S114&gt;'Model inputs'!AA117))),1,0)</f>
        <v>0</v>
      </c>
      <c r="T16" s="22" t="n">
        <f aca="false">IF(IF(IF(ISERROR('Model inputs'!T114&gt;'Model inputs'!AA117),'Model inputs'!T114&gt;'Model inputs'!AA117,IF(OR('Model inputs'!T114="",'Model inputs'!AA117=""),"",'Model inputs'!T114&gt;'Model inputs'!AA117))="",FALSE(),IF(ISERROR('Model inputs'!T114&gt;'Model inputs'!AA117),'Model inputs'!T114&gt;'Model inputs'!AA117,IF(OR('Model inputs'!T114="",'Model inputs'!AA117=""),"",'Model inputs'!T114&gt;'Model inputs'!AA117))),1,0)</f>
        <v>1</v>
      </c>
      <c r="U16" s="22" t="n">
        <f aca="false">IF(IF(IF(ISERROR('Model inputs'!U114&gt;'Model inputs'!AA117),'Model inputs'!U114&gt;'Model inputs'!AA117,IF(OR('Model inputs'!U114="",'Model inputs'!AA117=""),"",'Model inputs'!U114&gt;'Model inputs'!AA117))="",FALSE(),IF(ISERROR('Model inputs'!U114&gt;'Model inputs'!AA117),'Model inputs'!U114&gt;'Model inputs'!AA117,IF(OR('Model inputs'!U114="",'Model inputs'!AA117=""),"",'Model inputs'!U114&gt;'Model inputs'!AA117))),1,0)</f>
        <v>1</v>
      </c>
      <c r="V16" s="22" t="n">
        <f aca="false">IF(IF(IF(ISERROR('Model inputs'!V114&gt;'Model inputs'!AA117),'Model inputs'!V114&gt;'Model inputs'!AA117,IF(OR('Model inputs'!V114="",'Model inputs'!AA117=""),"",'Model inputs'!V114&gt;'Model inputs'!AA117))="",FALSE(),IF(ISERROR('Model inputs'!V114&gt;'Model inputs'!AA117),'Model inputs'!V114&gt;'Model inputs'!AA117,IF(OR('Model inputs'!V114="",'Model inputs'!AA117=""),"",'Model inputs'!V114&gt;'Model inputs'!AA117))),1,0)</f>
        <v>1</v>
      </c>
      <c r="W16" s="22" t="n">
        <f aca="false">IF(IF(IF(ISERROR('Model inputs'!W114&gt;'Model inputs'!AA117),'Model inputs'!W114&gt;'Model inputs'!AA117,IF(OR('Model inputs'!W114="",'Model inputs'!AA117=""),"",'Model inputs'!W114&gt;'Model inputs'!AA117))="",FALSE(),IF(ISERROR('Model inputs'!W114&gt;'Model inputs'!AA117),'Model inputs'!W114&gt;'Model inputs'!AA117,IF(OR('Model inputs'!W114="",'Model inputs'!AA117=""),"",'Model inputs'!W114&gt;'Model inputs'!AA117))),1,0)</f>
        <v>1</v>
      </c>
      <c r="X16" s="22" t="n">
        <f aca="false">IF(IF(IF(ISERROR('Model inputs'!X114&gt;'Model inputs'!AA117),'Model inputs'!X114&gt;'Model inputs'!AA117,IF(OR('Model inputs'!X114="",'Model inputs'!AA117=""),"",'Model inputs'!X114&gt;'Model inputs'!AA117))="",FALSE(),IF(ISERROR('Model inputs'!X114&gt;'Model inputs'!AA117),'Model inputs'!X114&gt;'Model inputs'!AA117,IF(OR('Model inputs'!X114="",'Model inputs'!AA117=""),"",'Model inputs'!X114&gt;'Model inputs'!AA117))),1,0)</f>
        <v>1</v>
      </c>
      <c r="Y16" s="22" t="n">
        <f aca="false">IF(IF(IF(ISERROR('Model inputs'!Y114&gt;'Model inputs'!AA117),'Model inputs'!Y114&gt;'Model inputs'!AA117,IF(OR('Model inputs'!Y114="",'Model inputs'!AA117=""),"",'Model inputs'!Y114&gt;'Model inputs'!AA117))="",FALSE(),IF(ISERROR('Model inputs'!Y114&gt;'Model inputs'!AA117),'Model inputs'!Y114&gt;'Model inputs'!AA117,IF(OR('Model inputs'!Y114="",'Model inputs'!AA117=""),"",'Model inputs'!Y114&gt;'Model inputs'!AA117))),1,0)</f>
        <v>1</v>
      </c>
    </row>
    <row r="17" customFormat="false" ht="18" hidden="false" customHeight="false" outlineLevel="0" collapsed="false">
      <c r="A17" s="27" t="s">
        <v>224</v>
      </c>
      <c r="B17" s="22" t="n">
        <v>0</v>
      </c>
      <c r="C17" s="22" t="n">
        <v>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f aca="false">'Gainsay drivers · Gainsay deman'!B8</f>
        <v>10</v>
      </c>
      <c r="L17" s="22" t="n">
        <f aca="false">'Model inputs'!K17*(1+'Model inputs'!L123)</f>
        <v>10.5</v>
      </c>
      <c r="M17" s="22" t="n">
        <f aca="false">'Model inputs'!L17*(1+'Model inputs'!M123)</f>
        <v>11.025</v>
      </c>
      <c r="N17" s="22" t="n">
        <f aca="false">'Model inputs'!M17*(1+'Model inputs'!N123)</f>
        <v>11.57625</v>
      </c>
      <c r="O17" s="22" t="n">
        <f aca="false">'Model inputs'!N17*(1+'Model inputs'!O123)</f>
        <v>12.1550625</v>
      </c>
      <c r="P17" s="22" t="n">
        <f aca="false">'Model inputs'!O17*(1+'Model inputs'!P123)</f>
        <v>12.762815625</v>
      </c>
      <c r="Q17" s="22" t="n">
        <f aca="false">'Model inputs'!P17*(1+'Model inputs'!Q123)</f>
        <v>13.40095640625</v>
      </c>
      <c r="R17" s="22" t="n">
        <f aca="false">'Model inputs'!Q17*(1+'Model inputs'!R123)</f>
        <v>14.0710042265625</v>
      </c>
      <c r="S17" s="22" t="n">
        <f aca="false">'Model inputs'!R17*(1+'Model inputs'!S123)</f>
        <v>14.7745544378906</v>
      </c>
      <c r="T17" s="22" t="n">
        <f aca="false">'Model inputs'!S17*(1+'Model inputs'!T123)</f>
        <v>15.5132821597852</v>
      </c>
      <c r="U17" s="22" t="n">
        <f aca="false">'Model inputs'!T17*(1+'Model inputs'!U123)</f>
        <v>16.2889462677744</v>
      </c>
      <c r="V17" s="22" t="n">
        <f aca="false">'Model inputs'!U17*(1+'Model inputs'!V123)</f>
        <v>17.1033935811631</v>
      </c>
      <c r="W17" s="22" t="n">
        <f aca="false">'Model inputs'!V17*(1+'Model inputs'!W123)</f>
        <v>17.9585632602213</v>
      </c>
      <c r="X17" s="22" t="n">
        <f aca="false">'Model inputs'!W17*(1+'Model inputs'!X123)</f>
        <v>18.8564914232324</v>
      </c>
      <c r="Y17" s="22" t="n">
        <f aca="false">'Model inputs'!X17*(1+'Model inputs'!Y123)</f>
        <v>19.799315994394</v>
      </c>
    </row>
    <row r="18" customFormat="false" ht="18" hidden="false" customHeight="false" outlineLevel="0" collapsed="false">
      <c r="A18" s="27" t="s">
        <v>225</v>
      </c>
      <c r="Z18" s="12" t="n">
        <f aca="false">'Gainsay drivers · Gainsay fixed'!B7</f>
        <v>9</v>
      </c>
    </row>
    <row r="19" customFormat="false" ht="18" hidden="false" customHeight="false" outlineLevel="0" collapsed="false">
      <c r="A19" s="27" t="s">
        <v>226</v>
      </c>
      <c r="AA19" s="12" t="n">
        <f aca="false">'Gainsay drivers · Gainsay fixed'!B7</f>
        <v>9</v>
      </c>
    </row>
    <row r="20" customFormat="false" ht="18" hidden="false" customHeight="false" outlineLevel="0" collapsed="false">
      <c r="A20" s="27" t="s">
        <v>227</v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f aca="false">'Model inputs'!K17*'Model inputs'!Z18</f>
        <v>90</v>
      </c>
      <c r="L20" s="12" t="n">
        <f aca="false">'Model inputs'!L17*'Model inputs'!Z18</f>
        <v>94.5</v>
      </c>
      <c r="M20" s="12" t="n">
        <f aca="false">'Model inputs'!M17*'Model inputs'!Z18</f>
        <v>99.225</v>
      </c>
      <c r="N20" s="12" t="n">
        <f aca="false">'Model inputs'!N17*'Model inputs'!Z18</f>
        <v>104.18625</v>
      </c>
      <c r="O20" s="12" t="n">
        <f aca="false">'Model inputs'!O17*'Model inputs'!Z18</f>
        <v>109.3955625</v>
      </c>
      <c r="P20" s="12" t="n">
        <f aca="false">'Model inputs'!P17*'Model inputs'!Z18</f>
        <v>114.865340625</v>
      </c>
      <c r="Q20" s="12" t="n">
        <f aca="false">'Model inputs'!Q17*'Model inputs'!Z18</f>
        <v>120.60860765625</v>
      </c>
      <c r="R20" s="12" t="n">
        <f aca="false">'Model inputs'!R17*'Model inputs'!Z18</f>
        <v>126.639038039063</v>
      </c>
      <c r="S20" s="12" t="n">
        <f aca="false">'Model inputs'!S17*'Model inputs'!Z18</f>
        <v>132.970989941016</v>
      </c>
      <c r="T20" s="12" t="n">
        <f aca="false">'Model inputs'!T17*'Model inputs'!Z18</f>
        <v>139.619539438066</v>
      </c>
      <c r="U20" s="12" t="n">
        <f aca="false">'Model inputs'!U17*'Model inputs'!Z18</f>
        <v>146.60051640997</v>
      </c>
      <c r="V20" s="12" t="n">
        <f aca="false">'Model inputs'!V17*'Model inputs'!Z18</f>
        <v>153.930542230468</v>
      </c>
      <c r="W20" s="12" t="n">
        <f aca="false">'Model inputs'!W17*'Model inputs'!Z18</f>
        <v>161.627069341992</v>
      </c>
      <c r="X20" s="12" t="n">
        <f aca="false">'Model inputs'!X17*'Model inputs'!Z18</f>
        <v>169.708422809091</v>
      </c>
      <c r="Y20" s="12" t="n">
        <f aca="false">'Model inputs'!Y17*'Model inputs'!Z18</f>
        <v>178.193843949546</v>
      </c>
    </row>
    <row r="21" customFormat="false" ht="18" hidden="false" customHeight="false" outlineLevel="0" collapsed="false">
      <c r="A21" s="27" t="s">
        <v>228</v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f aca="false">'Model inputs'!K147*'Model inputs'!AA149</f>
        <v>45</v>
      </c>
      <c r="L21" s="12" t="n">
        <f aca="false">'Model inputs'!L147*'Model inputs'!AA149</f>
        <v>45</v>
      </c>
      <c r="M21" s="12" t="n">
        <f aca="false">'Model inputs'!M147*'Model inputs'!AA149</f>
        <v>45</v>
      </c>
      <c r="N21" s="12" t="n">
        <f aca="false">'Model inputs'!N147*'Model inputs'!AA149</f>
        <v>45</v>
      </c>
      <c r="O21" s="12" t="n">
        <f aca="false">'Model inputs'!O147*'Model inputs'!AA149</f>
        <v>45</v>
      </c>
      <c r="P21" s="12" t="n">
        <f aca="false">'Model inputs'!P147*'Model inputs'!AA149</f>
        <v>45</v>
      </c>
      <c r="Q21" s="12" t="n">
        <f aca="false">'Model inputs'!Q147*'Model inputs'!AA149</f>
        <v>45</v>
      </c>
      <c r="R21" s="12" t="n">
        <f aca="false">'Model inputs'!R147*'Model inputs'!AA149</f>
        <v>45</v>
      </c>
      <c r="S21" s="12" t="n">
        <f aca="false">'Model inputs'!S147*'Model inputs'!AA149</f>
        <v>45</v>
      </c>
      <c r="T21" s="12" t="n">
        <f aca="false">'Model inputs'!T147*'Model inputs'!AA149</f>
        <v>45</v>
      </c>
      <c r="U21" s="12" t="n">
        <f aca="false">'Model inputs'!U147*'Model inputs'!AA149</f>
        <v>45</v>
      </c>
      <c r="V21" s="12" t="n">
        <f aca="false">'Model inputs'!V147*'Model inputs'!AA149</f>
        <v>45</v>
      </c>
      <c r="W21" s="12" t="n">
        <f aca="false">'Model inputs'!W147*'Model inputs'!AA149</f>
        <v>45</v>
      </c>
      <c r="X21" s="12" t="n">
        <f aca="false">'Model inputs'!X147*'Model inputs'!AA149</f>
        <v>45</v>
      </c>
      <c r="Y21" s="12" t="n">
        <f aca="false">'Model inputs'!Y147*'Model inputs'!AA149</f>
        <v>45</v>
      </c>
    </row>
    <row r="22" customFormat="false" ht="18" hidden="false" customHeight="false" outlineLevel="0" collapsed="false">
      <c r="A22" s="27" t="s">
        <v>229</v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f aca="false">'Model inputs'!K148*'Model inputs'!AA150</f>
        <v>180</v>
      </c>
      <c r="L22" s="12" t="n">
        <f aca="false">'Model inputs'!L148*'Model inputs'!AA150</f>
        <v>198</v>
      </c>
      <c r="M22" s="12" t="n">
        <f aca="false">'Model inputs'!M148*'Model inputs'!AA150</f>
        <v>217.8</v>
      </c>
      <c r="N22" s="12" t="n">
        <f aca="false">'Model inputs'!N148*'Model inputs'!AA150</f>
        <v>239.58</v>
      </c>
      <c r="O22" s="12" t="n">
        <f aca="false">'Model inputs'!O148*'Model inputs'!AA150</f>
        <v>263.538</v>
      </c>
      <c r="P22" s="12" t="n">
        <f aca="false">'Model inputs'!P148*'Model inputs'!AA150</f>
        <v>289.8918</v>
      </c>
      <c r="Q22" s="12" t="n">
        <f aca="false">'Model inputs'!Q148*'Model inputs'!AA150</f>
        <v>318.88098</v>
      </c>
      <c r="R22" s="12" t="n">
        <f aca="false">'Model inputs'!R148*'Model inputs'!AA150</f>
        <v>350.769078</v>
      </c>
      <c r="S22" s="12" t="n">
        <f aca="false">'Model inputs'!S148*'Model inputs'!AA150</f>
        <v>385.8459858</v>
      </c>
      <c r="T22" s="12" t="n">
        <f aca="false">'Model inputs'!T148*'Model inputs'!AA150</f>
        <v>424.43058438</v>
      </c>
      <c r="U22" s="12" t="n">
        <f aca="false">'Model inputs'!U148*'Model inputs'!AA150</f>
        <v>466.873642818</v>
      </c>
      <c r="V22" s="12" t="n">
        <f aca="false">'Model inputs'!V148*'Model inputs'!AA150</f>
        <v>513.5610070998</v>
      </c>
      <c r="W22" s="12" t="n">
        <f aca="false">'Model inputs'!W148*'Model inputs'!AA150</f>
        <v>564.91710780978</v>
      </c>
      <c r="X22" s="12" t="n">
        <f aca="false">'Model inputs'!X148*'Model inputs'!AA150</f>
        <v>621.408818590759</v>
      </c>
      <c r="Y22" s="12" t="n">
        <f aca="false">'Model inputs'!Y148*'Model inputs'!AA150</f>
        <v>683.549700449835</v>
      </c>
    </row>
    <row r="23" customFormat="false" ht="18" hidden="false" customHeight="false" outlineLevel="0" collapsed="false">
      <c r="A23" s="27" t="s">
        <v>230</v>
      </c>
      <c r="Z23" s="22" t="n">
        <f aca="false">'Gainsay drivers · Gainsay fixed'!B31</f>
        <v>3</v>
      </c>
    </row>
    <row r="24" customFormat="false" ht="18" hidden="false" customHeight="false" outlineLevel="0" collapsed="false">
      <c r="A24" s="27" t="s">
        <v>231</v>
      </c>
      <c r="AA24" s="22" t="n">
        <f aca="false">'Gainsay drivers · Gainsay fixed'!B31</f>
        <v>3</v>
      </c>
    </row>
    <row r="25" customFormat="false" ht="18" hidden="false" customHeight="false" outlineLevel="0" collapsed="false">
      <c r="A25" s="27" t="s">
        <v>232</v>
      </c>
      <c r="Z25" s="22" t="n">
        <f aca="false">'Gainsay drivers · Gainsay fixed'!B10</f>
        <v>30</v>
      </c>
    </row>
    <row r="26" customFormat="false" ht="18" hidden="false" customHeight="false" outlineLevel="0" collapsed="false">
      <c r="A26" s="27" t="s">
        <v>233</v>
      </c>
      <c r="AA26" s="22" t="n">
        <f aca="false">'Gainsay drivers · Gainsay fixed'!B10</f>
        <v>30</v>
      </c>
    </row>
    <row r="27" customFormat="false" ht="18" hidden="false" customHeight="false" outlineLevel="0" collapsed="false">
      <c r="A27" s="27" t="s">
        <v>234</v>
      </c>
      <c r="Z27" s="22" t="n">
        <f aca="false">'Gainsay drivers · Gainsay fixed'!B9</f>
        <v>35</v>
      </c>
    </row>
    <row r="28" customFormat="false" ht="18" hidden="false" customHeight="false" outlineLevel="0" collapsed="false">
      <c r="A28" s="27" t="s">
        <v>235</v>
      </c>
      <c r="AA28" s="22" t="n">
        <f aca="false">'Gainsay drivers · Gainsay fixed'!B9</f>
        <v>35</v>
      </c>
    </row>
    <row r="29" customFormat="false" ht="18" hidden="false" customHeight="false" outlineLevel="0" collapsed="false">
      <c r="A29" s="27" t="s">
        <v>236</v>
      </c>
      <c r="Z29" s="28" t="n">
        <f aca="false">'Gainsay drivers · Gainsay fixed'!B5</f>
        <v>0.026</v>
      </c>
    </row>
    <row r="30" customFormat="false" ht="18" hidden="false" customHeight="false" outlineLevel="0" collapsed="false">
      <c r="A30" s="27" t="s">
        <v>237</v>
      </c>
      <c r="AA30" s="28" t="n">
        <f aca="false">'Gainsay drivers · Gainsay fixed'!B5</f>
        <v>0.026</v>
      </c>
    </row>
    <row r="31" customFormat="false" ht="18" hidden="false" customHeight="false" outlineLevel="0" collapsed="false">
      <c r="A31" s="27" t="s">
        <v>186</v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f aca="false">IF(IF(DATE(2026,10,1)=DATE(2026,10,1),'Model inputs'!Z79-'Model inputs'!Z65,IF('Model inputs'!J31="","",'Model inputs'!J31))="",0,IF(DATE(2026,10,1)=DATE(2026,10,1),'Model inputs'!Z79-'Model inputs'!Z65,IF('Model inputs'!J31="","",'Model inputs'!J31)))+'Model inputs'!K73</f>
        <v>3642.807</v>
      </c>
      <c r="L31" s="12" t="n">
        <f aca="false">IF(IF(DATE(2026,11,1)=DATE(2026,10,1),'Model inputs'!Z79-'Model inputs'!Z65,IF('Model inputs'!K31="","",'Model inputs'!K31))="",0,IF(DATE(2026,11,1)=DATE(2026,10,1),'Model inputs'!Z79-'Model inputs'!Z65,IF('Model inputs'!K31="","",'Model inputs'!K31)))+'Model inputs'!L73</f>
        <v>2869.05784</v>
      </c>
      <c r="M31" s="12" t="n">
        <f aca="false">IF(IF(DATE(2026,12,1)=DATE(2026,10,1),'Model inputs'!Z79-'Model inputs'!Z65,IF('Model inputs'!L31="","",'Model inputs'!L31))="",0,IF(DATE(2026,12,1)=DATE(2026,10,1),'Model inputs'!Z79-'Model inputs'!Z65,IF('Model inputs'!L31="","",'Model inputs'!L31)))+'Model inputs'!M73</f>
        <v>2180.6515073</v>
      </c>
      <c r="N31" s="12" t="n">
        <f aca="false">IF(IF(DATE(2027,1,1)=DATE(2026,10,1),'Model inputs'!Z79-'Model inputs'!Z65,IF('Model inputs'!M31="","",'Model inputs'!M31))="",0,IF(DATE(2027,1,1)=DATE(2026,10,1),'Model inputs'!Z79-'Model inputs'!Z65,IF('Model inputs'!M31="","",'Model inputs'!M31)))+'Model inputs'!N73</f>
        <v>1579.650134706</v>
      </c>
      <c r="O31" s="12" t="n">
        <f aca="false">IF(IF(DATE(2027,2,1)=DATE(2026,10,1),'Model inputs'!Z79-'Model inputs'!Z65,IF('Model inputs'!N31="","",'Model inputs'!N31))="",0,IF(DATE(2027,2,1)=DATE(2026,10,1),'Model inputs'!Z79-'Model inputs'!Z65,IF('Model inputs'!N31="","",'Model inputs'!N31)))+'Model inputs'!O73</f>
        <v>1068.28511192107</v>
      </c>
      <c r="P31" s="12" t="n">
        <f aca="false">IF(IF(DATE(2027,3,1)=DATE(2026,10,1),'Model inputs'!Z79-'Model inputs'!Z65,IF('Model inputs'!O31="","",'Model inputs'!O31))="",0,IF(DATE(2027,3,1)=DATE(2026,10,1),'Model inputs'!Z79-'Model inputs'!Z65,IF('Model inputs'!O31="","",'Model inputs'!O31)))+'Model inputs'!P73</f>
        <v>648.963563882501</v>
      </c>
      <c r="Q31" s="12" t="n">
        <f aca="false">IF(IF(DATE(2027,4,1)=DATE(2026,10,1),'Model inputs'!Z79-'Model inputs'!Z65,IF('Model inputs'!P31="","",'Model inputs'!P31))="",0,IF(DATE(2027,4,1)=DATE(2026,10,1),'Model inputs'!Z79-'Model inputs'!Z65,IF('Model inputs'!P31="","",'Model inputs'!P31)))+'Model inputs'!Q73</f>
        <v>324.275212551041</v>
      </c>
      <c r="R31" s="12" t="n">
        <f aca="false">IF(IF(DATE(2027,5,1)=DATE(2026,10,1),'Model inputs'!Z79-'Model inputs'!Z65,IF('Model inputs'!Q31="","",'Model inputs'!Q31))="",0,IF(DATE(2027,5,1)=DATE(2026,10,1),'Model inputs'!Z79-'Model inputs'!Z65,IF('Model inputs'!Q31="","",'Model inputs'!Q31)))+'Model inputs'!R73</f>
        <v>96.9996395387766</v>
      </c>
      <c r="S31" s="12" t="n">
        <f aca="false">IF(IF(DATE(2027,6,1)=DATE(2026,10,1),'Model inputs'!Z79-'Model inputs'!Z65,IF('Model inputs'!R31="","",'Model inputs'!R31))="",0,IF(DATE(2027,6,1)=DATE(2026,10,1),'Model inputs'!Z79-'Model inputs'!Z65,IF('Model inputs'!R31="","",'Model inputs'!R31)))+'Model inputs'!S73</f>
        <v>-29.8860321149067</v>
      </c>
      <c r="T31" s="12" t="n">
        <f aca="false">IF(IF(DATE(2027,7,1)=DATE(2026,10,1),'Model inputs'!Z79-'Model inputs'!Z65,IF('Model inputs'!S31="","",'Model inputs'!S31))="",0,IF(DATE(2027,7,1)=DATE(2026,10,1),'Model inputs'!Z79-'Model inputs'!Z65,IF('Model inputs'!S31="","",'Model inputs'!S31)))+'Model inputs'!T73</f>
        <v>-53.1990177423553</v>
      </c>
      <c r="U31" s="12" t="n">
        <f aca="false">IF(IF(DATE(2027,8,1)=DATE(2026,10,1),'Model inputs'!Z79-'Model inputs'!Z65,IF('Model inputs'!T31="","",'Model inputs'!T31))="",0,IF(DATE(2027,8,1)=DATE(2026,10,1),'Model inputs'!Z79-'Model inputs'!Z65,IF('Model inputs'!T31="","",'Model inputs'!T31)))+'Model inputs'!U73</f>
        <v>30.4577078694746</v>
      </c>
      <c r="V31" s="12" t="n">
        <f aca="false">IF(IF(DATE(2027,9,1)=DATE(2026,10,1),'Model inputs'!Z79-'Model inputs'!Z65,IF('Model inputs'!U31="","",'Model inputs'!U31))="",0,IF(DATE(2027,9,1)=DATE(2026,10,1),'Model inputs'!Z79-'Model inputs'!Z65,IF('Model inputs'!U31="","",'Model inputs'!U31)))+'Model inputs'!V73</f>
        <v>224.704469466928</v>
      </c>
      <c r="W31" s="12" t="n">
        <f aca="false">IF(IF(DATE(2027,10,1)=DATE(2026,10,1),'Model inputs'!Z79-'Model inputs'!Z65,IF('Model inputs'!V31="","",'Model inputs'!V31))="",0,IF(DATE(2027,10,1)=DATE(2026,10,1),'Model inputs'!Z79-'Model inputs'!Z65,IF('Model inputs'!V31="","",'Model inputs'!V31)))+'Model inputs'!W73</f>
        <v>533.394452858134</v>
      </c>
      <c r="X31" s="12" t="n">
        <f aca="false">IF(IF(DATE(2027,11,1)=DATE(2026,10,1),'Model inputs'!Z79-'Model inputs'!Z65,IF('Model inputs'!W31="","",'Model inputs'!W31))="",0,IF(DATE(2027,11,1)=DATE(2026,10,1),'Model inputs'!Z79-'Model inputs'!Z65,IF('Model inputs'!W31="","",'Model inputs'!W31)))+'Model inputs'!X73</f>
        <v>960.623792621365</v>
      </c>
      <c r="Y31" s="12" t="n">
        <f aca="false">IF(IF(DATE(2027,12,1)=DATE(2026,10,1),'Model inputs'!Z79-'Model inputs'!Z65,IF('Model inputs'!X31="","",'Model inputs'!X31))="",0,IF(DATE(2027,12,1)=DATE(2026,10,1),'Model inputs'!Z79-'Model inputs'!Z65,IF('Model inputs'!X31="","",'Model inputs'!X31)))+'Model inputs'!Y73</f>
        <v>1110.74221085915</v>
      </c>
    </row>
    <row r="32" customFormat="false" ht="18" hidden="false" customHeight="false" outlineLevel="0" collapsed="false">
      <c r="A32" s="27" t="s">
        <v>238</v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f aca="false">IF(IF(DATE(2026,10,1)=DATE(2026,10,1),'Model inputs'!Z79-'Model inputs'!Z65,IF('Model inputs'!J32="","",'Model inputs'!J32))="",0,IF(DATE(2026,10,1)=DATE(2026,10,1),'Model inputs'!Z79-'Model inputs'!Z65,IF('Model inputs'!J32="","",'Model inputs'!J32)))+'Model inputs'!K72</f>
        <v>3642.807</v>
      </c>
      <c r="L32" s="12" t="n">
        <f aca="false">IF(IF(DATE(2026,11,1)=DATE(2026,10,1),'Model inputs'!Z79-'Model inputs'!Z65,IF('Model inputs'!K32="","",'Model inputs'!K32))="",0,IF(DATE(2026,11,1)=DATE(2026,10,1),'Model inputs'!Z79-'Model inputs'!Z65,IF('Model inputs'!K32="","",'Model inputs'!K32)))+'Model inputs'!L72</f>
        <v>2869.05784</v>
      </c>
      <c r="M32" s="12" t="n">
        <f aca="false">IF(IF(DATE(2026,12,1)=DATE(2026,10,1),'Model inputs'!Z79-'Model inputs'!Z65,IF('Model inputs'!L32="","",'Model inputs'!L32))="",0,IF(DATE(2026,12,1)=DATE(2026,10,1),'Model inputs'!Z79-'Model inputs'!Z65,IF('Model inputs'!L32="","",'Model inputs'!L32)))+'Model inputs'!M72</f>
        <v>2180.6515073</v>
      </c>
      <c r="N32" s="12" t="n">
        <f aca="false">IF(IF(DATE(2027,1,1)=DATE(2026,10,1),'Model inputs'!Z79-'Model inputs'!Z65,IF('Model inputs'!M32="","",'Model inputs'!M32))="",0,IF(DATE(2027,1,1)=DATE(2026,10,1),'Model inputs'!Z79-'Model inputs'!Z65,IF('Model inputs'!M32="","",'Model inputs'!M32)))+'Model inputs'!N72</f>
        <v>1579.650134706</v>
      </c>
      <c r="O32" s="12" t="n">
        <f aca="false">IF(IF(DATE(2027,2,1)=DATE(2026,10,1),'Model inputs'!Z79-'Model inputs'!Z65,IF('Model inputs'!N32="","",'Model inputs'!N32))="",0,IF(DATE(2027,2,1)=DATE(2026,10,1),'Model inputs'!Z79-'Model inputs'!Z65,IF('Model inputs'!N32="","",'Model inputs'!N32)))+'Model inputs'!O72</f>
        <v>1068.28511192107</v>
      </c>
      <c r="P32" s="12" t="n">
        <f aca="false">IF(IF(DATE(2027,3,1)=DATE(2026,10,1),'Model inputs'!Z79-'Model inputs'!Z65,IF('Model inputs'!O32="","",'Model inputs'!O32))="",0,IF(DATE(2027,3,1)=DATE(2026,10,1),'Model inputs'!Z79-'Model inputs'!Z65,IF('Model inputs'!O32="","",'Model inputs'!O32)))+'Model inputs'!P72</f>
        <v>648.963563882501</v>
      </c>
      <c r="Q32" s="12" t="n">
        <f aca="false">IF(IF(DATE(2027,4,1)=DATE(2026,10,1),'Model inputs'!Z79-'Model inputs'!Z65,IF('Model inputs'!P32="","",'Model inputs'!P32))="",0,IF(DATE(2027,4,1)=DATE(2026,10,1),'Model inputs'!Z79-'Model inputs'!Z65,IF('Model inputs'!P32="","",'Model inputs'!P32)))+'Model inputs'!Q72</f>
        <v>324.275212551041</v>
      </c>
      <c r="R32" s="12" t="n">
        <f aca="false">IF(IF(DATE(2027,5,1)=DATE(2026,10,1),'Model inputs'!Z79-'Model inputs'!Z65,IF('Model inputs'!Q32="","",'Model inputs'!Q32))="",0,IF(DATE(2027,5,1)=DATE(2026,10,1),'Model inputs'!Z79-'Model inputs'!Z65,IF('Model inputs'!Q32="","",'Model inputs'!Q32)))+'Model inputs'!R72</f>
        <v>96.9996395387766</v>
      </c>
      <c r="S32" s="12" t="n">
        <f aca="false">IF(IF(DATE(2027,6,1)=DATE(2026,10,1),'Model inputs'!Z79-'Model inputs'!Z65,IF('Model inputs'!R32="","",'Model inputs'!R32))="",0,IF(DATE(2027,6,1)=DATE(2026,10,1),'Model inputs'!Z79-'Model inputs'!Z65,IF('Model inputs'!R32="","",'Model inputs'!R32)))+'Model inputs'!S72</f>
        <v>-29.8860321149067</v>
      </c>
      <c r="T32" s="12" t="n">
        <f aca="false">IF(IF(DATE(2027,7,1)=DATE(2026,10,1),'Model inputs'!Z79-'Model inputs'!Z65,IF('Model inputs'!S32="","",'Model inputs'!S32))="",0,IF(DATE(2027,7,1)=DATE(2026,10,1),'Model inputs'!Z79-'Model inputs'!Z65,IF('Model inputs'!S32="","",'Model inputs'!S32)))+'Model inputs'!T72</f>
        <v>-53.1990177423553</v>
      </c>
      <c r="U32" s="12" t="n">
        <f aca="false">IF(IF(DATE(2027,8,1)=DATE(2026,10,1),'Model inputs'!Z79-'Model inputs'!Z65,IF('Model inputs'!T32="","",'Model inputs'!T32))="",0,IF(DATE(2027,8,1)=DATE(2026,10,1),'Model inputs'!Z79-'Model inputs'!Z65,IF('Model inputs'!T32="","",'Model inputs'!T32)))+'Model inputs'!U72</f>
        <v>30.4577078694746</v>
      </c>
      <c r="V32" s="12" t="n">
        <f aca="false">IF(IF(DATE(2027,9,1)=DATE(2026,10,1),'Model inputs'!Z79-'Model inputs'!Z65,IF('Model inputs'!U32="","",'Model inputs'!U32))="",0,IF(DATE(2027,9,1)=DATE(2026,10,1),'Model inputs'!Z79-'Model inputs'!Z65,IF('Model inputs'!U32="","",'Model inputs'!U32)))+'Model inputs'!V72</f>
        <v>224.704469466928</v>
      </c>
      <c r="W32" s="12" t="n">
        <f aca="false">IF(IF(DATE(2027,10,1)=DATE(2026,10,1),'Model inputs'!Z79-'Model inputs'!Z65,IF('Model inputs'!V32="","",'Model inputs'!V32))="",0,IF(DATE(2027,10,1)=DATE(2026,10,1),'Model inputs'!Z79-'Model inputs'!Z65,IF('Model inputs'!V32="","",'Model inputs'!V32)))+'Model inputs'!W72</f>
        <v>533.394452858134</v>
      </c>
      <c r="X32" s="12" t="n">
        <f aca="false">IF(IF(DATE(2027,11,1)=DATE(2026,10,1),'Model inputs'!Z79-'Model inputs'!Z65,IF('Model inputs'!W32="","",'Model inputs'!W32))="",0,IF(DATE(2027,11,1)=DATE(2026,10,1),'Model inputs'!Z79-'Model inputs'!Z65,IF('Model inputs'!W32="","",'Model inputs'!W32)))+'Model inputs'!X72</f>
        <v>960.623792621365</v>
      </c>
      <c r="Y32" s="12" t="n">
        <f aca="false">IF(IF(DATE(2027,12,1)=DATE(2026,10,1),'Model inputs'!Z79-'Model inputs'!Z65,IF('Model inputs'!X32="","",'Model inputs'!X32))="",0,IF(DATE(2027,12,1)=DATE(2026,10,1),'Model inputs'!Z79-'Model inputs'!Z65,IF('Model inputs'!X32="","",'Model inputs'!X32)))+'Model inputs'!Y72</f>
        <v>1110.74221085915</v>
      </c>
    </row>
    <row r="33" customFormat="false" ht="18" hidden="false" customHeight="false" outlineLevel="0" collapsed="false">
      <c r="A33" s="27" t="s">
        <v>239</v>
      </c>
      <c r="Z33" s="12" t="n">
        <f aca="false">'Gainsay drivers · Gainsay fixed'!B6</f>
        <v>29</v>
      </c>
    </row>
    <row r="34" customFormat="false" ht="18" hidden="false" customHeight="false" outlineLevel="0" collapsed="false">
      <c r="A34" s="27" t="s">
        <v>240</v>
      </c>
      <c r="AA34" s="12" t="n">
        <f aca="false">'Gainsay drivers · Gainsay fixed'!B6</f>
        <v>29</v>
      </c>
    </row>
    <row r="35" customFormat="false" ht="18" hidden="false" customHeight="false" outlineLevel="0" collapsed="false">
      <c r="A35" s="27" t="s">
        <v>241</v>
      </c>
      <c r="AA35" s="12" t="n">
        <f aca="false">'Gainsay drivers · Gainsay fixed'!B6</f>
        <v>29</v>
      </c>
    </row>
    <row r="36" customFormat="false" ht="18" hidden="false" customHeight="false" outlineLevel="0" collapsed="false">
      <c r="A36" s="27" t="s">
        <v>242</v>
      </c>
      <c r="AA36" s="12" t="n">
        <f aca="false">29</f>
        <v>29</v>
      </c>
    </row>
    <row r="37" customFormat="false" ht="18" hidden="false" customHeight="false" outlineLevel="0" collapsed="false">
      <c r="A37" s="27" t="s">
        <v>243</v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f aca="false">IF('Model inputs'!Z79="","",'Model inputs'!Z79)</f>
        <v>5000</v>
      </c>
      <c r="K37" s="12" t="n">
        <f aca="false">'Model inputs'!J37+'Model inputs'!K74</f>
        <v>892.807</v>
      </c>
      <c r="L37" s="12" t="n">
        <f aca="false">'Model inputs'!K37+'Model inputs'!L74</f>
        <v>369.05784</v>
      </c>
      <c r="M37" s="12" t="n">
        <f aca="false">'Model inputs'!L37+'Model inputs'!M74</f>
        <v>-69.3484927000001</v>
      </c>
      <c r="N37" s="12" t="n">
        <f aca="false">'Model inputs'!M37+'Model inputs'!N74</f>
        <v>-420.349865294</v>
      </c>
      <c r="O37" s="12" t="n">
        <f aca="false">'Model inputs'!N37+'Model inputs'!O74</f>
        <v>-681.71488807893</v>
      </c>
      <c r="P37" s="12" t="n">
        <f aca="false">'Model inputs'!O37+'Model inputs'!P74</f>
        <v>-851.0364361175</v>
      </c>
      <c r="Q37" s="12" t="n">
        <f aca="false">'Model inputs'!P37+'Model inputs'!Q74</f>
        <v>-925.724787448959</v>
      </c>
      <c r="R37" s="12" t="n">
        <f aca="false">'Model inputs'!Q37+'Model inputs'!R74</f>
        <v>-903.000360461224</v>
      </c>
      <c r="S37" s="12" t="n">
        <f aca="false">'Model inputs'!R37+'Model inputs'!S74</f>
        <v>-779.886032114907</v>
      </c>
      <c r="T37" s="12" t="n">
        <f aca="false">'Model inputs'!S37+'Model inputs'!T74</f>
        <v>-553.199017742356</v>
      </c>
      <c r="U37" s="12" t="n">
        <f aca="false">'Model inputs'!T37+'Model inputs'!U74</f>
        <v>-219.542292130526</v>
      </c>
      <c r="V37" s="12" t="n">
        <f aca="false">'Model inputs'!U37+'Model inputs'!V74</f>
        <v>224.704469466927</v>
      </c>
      <c r="W37" s="12" t="n">
        <f aca="false">'Model inputs'!V37+'Model inputs'!W74</f>
        <v>-2216.60554714187</v>
      </c>
      <c r="X37" s="12" t="n">
        <f aca="false">'Model inputs'!W37+'Model inputs'!X74</f>
        <v>-1539.37620737863</v>
      </c>
      <c r="Y37" s="12" t="n">
        <f aca="false">'Model inputs'!X37+'Model inputs'!Y74</f>
        <v>-1139.25778914085</v>
      </c>
    </row>
    <row r="38" customFormat="false" ht="18" hidden="false" customHeight="false" outlineLevel="0" collapsed="false">
      <c r="A38" s="27" t="s">
        <v>244</v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f aca="false">IF('Model inputs'!AA189="","",'Model inputs'!AA189)</f>
        <v>5000</v>
      </c>
      <c r="K38" s="12" t="n">
        <f aca="false">'Model inputs'!J38+'Model inputs'!K75</f>
        <v>853.084</v>
      </c>
      <c r="L38" s="12" t="n">
        <f aca="false">'Model inputs'!K38+'Model inputs'!L75</f>
        <v>230.90505</v>
      </c>
      <c r="M38" s="12" t="n">
        <f aca="false">'Model inputs'!L38+'Model inputs'!M75</f>
        <v>-367.7737025</v>
      </c>
      <c r="N38" s="12" t="n">
        <f aca="false">'Model inputs'!M38+'Model inputs'!N75</f>
        <v>-944.127267375</v>
      </c>
      <c r="O38" s="12" t="n">
        <f aca="false">'Model inputs'!N38+'Model inputs'!O75</f>
        <v>-1499.27190400625</v>
      </c>
      <c r="P38" s="12" t="n">
        <f aca="false">'Model inputs'!O38+'Model inputs'!P75</f>
        <v>-2034.26805880594</v>
      </c>
      <c r="Q38" s="12" t="n">
        <f aca="false">'Model inputs'!P38+'Model inputs'!Q75</f>
        <v>-2550.12315586564</v>
      </c>
      <c r="R38" s="12" t="n">
        <f aca="false">'Model inputs'!Q38+'Model inputs'!R75</f>
        <v>-3047.79424807236</v>
      </c>
      <c r="S38" s="12" t="n">
        <f aca="false">'Model inputs'!R38+'Model inputs'!S75</f>
        <v>-3528.19053566874</v>
      </c>
      <c r="T38" s="12" t="n">
        <f aca="false">'Model inputs'!S38+'Model inputs'!T75</f>
        <v>-3992.1757588853</v>
      </c>
      <c r="U38" s="12" t="n">
        <f aca="false">'Model inputs'!T38+'Model inputs'!U75</f>
        <v>-4440.57047094104</v>
      </c>
      <c r="V38" s="12" t="n">
        <f aca="false">'Model inputs'!U38+'Model inputs'!V75</f>
        <v>-4874.15419739399</v>
      </c>
      <c r="W38" s="12" t="n">
        <f aca="false">'Model inputs'!V38+'Model inputs'!W75</f>
        <v>-8293.66748752429</v>
      </c>
      <c r="X38" s="12" t="n">
        <f aca="false">'Model inputs'!W38+'Model inputs'!X75</f>
        <v>-8699.81386314807</v>
      </c>
      <c r="Y38" s="12" t="n">
        <f aca="false">'Model inputs'!X38+'Model inputs'!Y75</f>
        <v>-9093.26166999067</v>
      </c>
    </row>
    <row r="39" customFormat="false" ht="18" hidden="false" customHeight="false" outlineLevel="0" collapsed="false">
      <c r="A39" s="27" t="s">
        <v>245</v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f aca="false">IF('Model inputs'!AA190="","",'Model inputs'!AA190)</f>
        <v>5000</v>
      </c>
      <c r="K39" s="12" t="n">
        <f aca="false">'Model inputs'!J39+'Model inputs'!K76</f>
        <v>898.292</v>
      </c>
      <c r="L39" s="12" t="n">
        <f aca="false">'Model inputs'!K39+'Model inputs'!L76</f>
        <v>536.618959999999</v>
      </c>
      <c r="M39" s="12" t="n">
        <f aca="false">'Model inputs'!L39+'Model inputs'!M76</f>
        <v>434.901460799999</v>
      </c>
      <c r="N39" s="12" t="n">
        <f aca="false">'Model inputs'!M39+'Model inputs'!N76</f>
        <v>615.133799584</v>
      </c>
      <c r="O39" s="12" t="n">
        <f aca="false">'Model inputs'!N39+'Model inputs'!O76</f>
        <v>1101.58972839232</v>
      </c>
      <c r="P39" s="12" t="n">
        <f aca="false">'Model inputs'!O39+'Model inputs'!P76</f>
        <v>1521.04879910448</v>
      </c>
      <c r="Q39" s="12" t="n">
        <f aca="false">'Model inputs'!P39+'Model inputs'!Q76</f>
        <v>2303.04537493039</v>
      </c>
      <c r="R39" s="12" t="n">
        <f aca="false">'Model inputs'!Q39+'Model inputs'!R76</f>
        <v>3480.14257442058</v>
      </c>
      <c r="S39" s="12" t="n">
        <f aca="false">'Model inputs'!R39+'Model inputs'!S76</f>
        <v>5088.23364061985</v>
      </c>
      <c r="T39" s="12" t="n">
        <f aca="false">'Model inputs'!S39+'Model inputs'!T76</f>
        <v>7166.8734772639</v>
      </c>
      <c r="U39" s="12" t="n">
        <f aca="false">'Model inputs'!T39+'Model inputs'!U76</f>
        <v>9759.64336812072</v>
      </c>
      <c r="V39" s="12" t="n">
        <f aca="false">'Model inputs'!U39+'Model inputs'!V76</f>
        <v>12914.5521972006</v>
      </c>
      <c r="W39" s="12" t="n">
        <f aca="false">'Model inputs'!V39+'Model inputs'!W76</f>
        <v>13684.4778193431</v>
      </c>
      <c r="X39" s="12" t="n">
        <f aca="false">'Model inputs'!W39+'Model inputs'!X76</f>
        <v>18127.6525956515</v>
      </c>
      <c r="Y39" s="12" t="n">
        <f aca="false">'Model inputs'!X39+'Model inputs'!Y76</f>
        <v>23308.1975097031</v>
      </c>
    </row>
    <row r="40" customFormat="false" ht="18" hidden="false" customHeight="false" outlineLevel="0" collapsed="false">
      <c r="A40" s="27" t="s">
        <v>246</v>
      </c>
      <c r="B40" s="22" t="n">
        <v>0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f aca="false">0</f>
        <v>0</v>
      </c>
      <c r="K40" s="22" t="n">
        <f aca="false">IF('Model inputs'!K6="","",'Model inputs'!K6)</f>
        <v>3</v>
      </c>
      <c r="L40" s="22" t="n">
        <f aca="false">IF('Model inputs'!L6="","",'Model inputs'!L6)</f>
        <v>6.06</v>
      </c>
      <c r="M40" s="22" t="n">
        <f aca="false">IF('Model inputs'!M6="","",'Model inputs'!M6)</f>
        <v>9.1857</v>
      </c>
      <c r="N40" s="22" t="n">
        <f aca="false">IF('Model inputs'!N6="","",'Model inputs'!N6)</f>
        <v>12.383004</v>
      </c>
      <c r="O40" s="22" t="n">
        <f aca="false">IF('Model inputs'!O6="","",'Model inputs'!O6)</f>
        <v>15.65803263</v>
      </c>
      <c r="P40" s="22" t="n">
        <f aca="false">IF('Model inputs'!P6="","",'Model inputs'!P6)</f>
        <v>19.0171363386</v>
      </c>
      <c r="Q40" s="22" t="n">
        <f aca="false">IF('Model inputs'!Q6="","",'Model inputs'!Q6)</f>
        <v>22.466909170317</v>
      </c>
      <c r="R40" s="22" t="n">
        <f aca="false">IF('Model inputs'!R6="","",'Model inputs'!R6)</f>
        <v>26.0142031631762</v>
      </c>
      <c r="S40" s="22" t="n">
        <f aca="false">IF('Model inputs'!S6="","",'Model inputs'!S6)</f>
        <v>29.6661433996482</v>
      </c>
      <c r="T40" s="22" t="n">
        <f aca="false">IF('Model inputs'!T6="","",'Model inputs'!T6)</f>
        <v>33.4301437455943</v>
      </c>
      <c r="U40" s="22" t="n">
        <f aca="false">IF('Model inputs'!U6="","",'Model inputs'!U6)</f>
        <v>37.3139233135588</v>
      </c>
      <c r="V40" s="22" t="n">
        <f aca="false">IF('Model inputs'!V6="","",'Model inputs'!V6)</f>
        <v>41.3255236885009</v>
      </c>
      <c r="W40" s="22" t="n">
        <f aca="false">IF('Model inputs'!W6="","",'Model inputs'!W6)</f>
        <v>45.4733269559123</v>
      </c>
      <c r="X40" s="22" t="n">
        <f aca="false">IF('Model inputs'!X6="","",'Model inputs'!X6)</f>
        <v>49.7660745742046</v>
      </c>
      <c r="Y40" s="22" t="n">
        <f aca="false">IF('Model inputs'!Y6="","",'Model inputs'!Y6)</f>
        <v>54.2128871352967</v>
      </c>
    </row>
    <row r="41" customFormat="false" ht="18" hidden="false" customHeight="false" outlineLevel="0" collapsed="false">
      <c r="A41" s="27" t="s">
        <v>195</v>
      </c>
      <c r="B41" s="16" t="n">
        <f aca="false">SUM('Model inputs'!B42,'Model inputs'!B43,'Model inputs'!B44)</f>
        <v>0</v>
      </c>
      <c r="C41" s="16" t="n">
        <f aca="false">SUM('Model inputs'!C42,'Model inputs'!C43,'Model inputs'!C44)</f>
        <v>0</v>
      </c>
      <c r="D41" s="16" t="n">
        <f aca="false">SUM('Model inputs'!D42,'Model inputs'!D43,'Model inputs'!D44)</f>
        <v>0</v>
      </c>
      <c r="E41" s="16" t="n">
        <f aca="false">SUM('Model inputs'!E42,'Model inputs'!E43,'Model inputs'!E44)</f>
        <v>0</v>
      </c>
      <c r="F41" s="16" t="n">
        <f aca="false">SUM('Model inputs'!F42,'Model inputs'!F43,'Model inputs'!F44)</f>
        <v>0</v>
      </c>
      <c r="G41" s="16" t="n">
        <f aca="false">SUM('Model inputs'!G42,'Model inputs'!G43,'Model inputs'!G44)</f>
        <v>0</v>
      </c>
      <c r="H41" s="16" t="n">
        <f aca="false">SUM('Model inputs'!H42,'Model inputs'!H43,'Model inputs'!H44)</f>
        <v>0</v>
      </c>
      <c r="I41" s="16" t="n">
        <f aca="false">SUM('Model inputs'!I42,'Model inputs'!I43,'Model inputs'!I44)</f>
        <v>0</v>
      </c>
      <c r="J41" s="16" t="n">
        <f aca="false">SUM('Model inputs'!J42,'Model inputs'!J43,'Model inputs'!J44)</f>
        <v>0</v>
      </c>
      <c r="K41" s="16" t="str">
        <f aca="false">""</f>
        <v/>
      </c>
      <c r="L41" s="16" t="str">
        <f aca="false">""</f>
        <v/>
      </c>
      <c r="M41" s="16" t="str">
        <f aca="false">""</f>
        <v/>
      </c>
      <c r="N41" s="16" t="str">
        <f aca="false">""</f>
        <v/>
      </c>
      <c r="O41" s="16" t="str">
        <f aca="false">""</f>
        <v/>
      </c>
      <c r="P41" s="16" t="str">
        <f aca="false">""</f>
        <v/>
      </c>
      <c r="Q41" s="16" t="str">
        <f aca="false">""</f>
        <v/>
      </c>
      <c r="R41" s="16" t="str">
        <f aca="false">""</f>
        <v/>
      </c>
      <c r="S41" s="16" t="str">
        <f aca="false">""</f>
        <v/>
      </c>
      <c r="T41" s="16" t="str">
        <f aca="false">""</f>
        <v/>
      </c>
      <c r="U41" s="16" t="str">
        <f aca="false">""</f>
        <v/>
      </c>
      <c r="V41" s="16" t="str">
        <f aca="false">""</f>
        <v/>
      </c>
      <c r="W41" s="16" t="str">
        <f aca="false">""</f>
        <v/>
      </c>
      <c r="X41" s="16" t="str">
        <f aca="false">""</f>
        <v/>
      </c>
      <c r="Y41" s="16" t="str">
        <f aca="false">""</f>
        <v/>
      </c>
    </row>
    <row r="42" customFormat="false" ht="18" hidden="false" customHeight="false" outlineLevel="1" collapsed="false">
      <c r="A42" s="29" t="s">
        <v>247</v>
      </c>
      <c r="B42" s="12" t="n">
        <f aca="false">0</f>
        <v>0</v>
      </c>
      <c r="C42" s="12" t="n">
        <f aca="false">0</f>
        <v>0</v>
      </c>
      <c r="D42" s="12" t="n">
        <f aca="false">0</f>
        <v>0</v>
      </c>
      <c r="E42" s="12" t="n">
        <f aca="false">0</f>
        <v>0</v>
      </c>
      <c r="F42" s="12" t="n">
        <f aca="false">0</f>
        <v>0</v>
      </c>
      <c r="G42" s="12" t="n">
        <f aca="false">0</f>
        <v>0</v>
      </c>
      <c r="H42" s="12" t="n">
        <f aca="false">0</f>
        <v>0</v>
      </c>
      <c r="I42" s="12" t="n">
        <f aca="false">0</f>
        <v>0</v>
      </c>
      <c r="J42" s="12" t="n">
        <f aca="false">0</f>
        <v>0</v>
      </c>
      <c r="K42" s="12" t="n">
        <f aca="false">'Model inputs'!K32+('Model inputs'!Z9-'Model inputs'!Z104)/12*(DATEDIF(DATE(2026,10,1),DATE(2026,10,1),"M")+1)</f>
        <v>3059.47366666667</v>
      </c>
      <c r="L42" s="12" t="n">
        <f aca="false">'Model inputs'!L32+('Model inputs'!Z9-'Model inputs'!Z104)/12*(DATEDIF(DATE(2026,10,1),DATE(2026,11,1),"M")+1)</f>
        <v>1702.39117333333</v>
      </c>
      <c r="M42" s="12" t="n">
        <f aca="false">'Model inputs'!M32+('Model inputs'!Z9-'Model inputs'!Z104)/12*(DATEDIF(DATE(2026,10,1),DATE(2026,12,1),"M")+1)</f>
        <v>430.6515073</v>
      </c>
      <c r="N42" s="12" t="n">
        <f aca="false">'Model inputs'!N32+('Model inputs'!Z9-'Model inputs'!Z104)/12*(DATEDIF(DATE(2026,10,1),DATE(2027,1,1),"M")+1)</f>
        <v>-753.683198627333</v>
      </c>
      <c r="O42" s="12" t="n">
        <f aca="false">'Model inputs'!O32+('Model inputs'!Z9-'Model inputs'!Z104)/12*(DATEDIF(DATE(2026,10,1),DATE(2027,2,1),"M")+1)</f>
        <v>-1848.3815547456</v>
      </c>
      <c r="P42" s="12" t="n">
        <f aca="false">'Model inputs'!P32+('Model inputs'!Z9-'Model inputs'!Z104)/12*(DATEDIF(DATE(2026,10,1),DATE(2027,3,1),"M")+1)</f>
        <v>-2851.0364361175</v>
      </c>
      <c r="Q42" s="12" t="n">
        <f aca="false">'Model inputs'!Q32+('Model inputs'!Z9-'Model inputs'!Z104)/12*(DATEDIF(DATE(2026,10,1),DATE(2027,4,1),"M")+1)</f>
        <v>-3759.05812078229</v>
      </c>
      <c r="R42" s="12" t="n">
        <f aca="false">'Model inputs'!R32+('Model inputs'!Z9-'Model inputs'!Z104)/12*(DATEDIF(DATE(2026,10,1),DATE(2027,5,1),"M")+1)</f>
        <v>-4569.66702712789</v>
      </c>
      <c r="S42" s="12" t="n">
        <f aca="false">'Model inputs'!S32+('Model inputs'!Z9-'Model inputs'!Z104)/12*(DATEDIF(DATE(2026,10,1),DATE(2027,6,1),"M")+1)</f>
        <v>-5279.88603211491</v>
      </c>
      <c r="T42" s="12" t="n">
        <f aca="false">'Model inputs'!T32+('Model inputs'!Z9-'Model inputs'!Z104)/12*(DATEDIF(DATE(2026,10,1),DATE(2027,7,1),"M")+1)</f>
        <v>-5886.53235107569</v>
      </c>
      <c r="U42" s="12" t="n">
        <f aca="false">'Model inputs'!U32+('Model inputs'!Z9-'Model inputs'!Z104)/12*(DATEDIF(DATE(2026,10,1),DATE(2027,8,1),"M")+1)</f>
        <v>-6386.20895879719</v>
      </c>
      <c r="V42" s="12" t="n">
        <f aca="false">'Model inputs'!V32+('Model inputs'!Z9-'Model inputs'!Z104)/12*(DATEDIF(DATE(2026,10,1),DATE(2027,9,1),"M")+1)</f>
        <v>-6775.29553053307</v>
      </c>
      <c r="W42" s="12" t="n">
        <f aca="false">'Model inputs'!W32+('Model inputs'!Z9-'Model inputs'!Z104)/12*(DATEDIF(DATE(2026,10,1),DATE(2027,10,1),"M")+1)</f>
        <v>-7049.9388804752</v>
      </c>
      <c r="X42" s="12" t="n">
        <f aca="false">'Model inputs'!X32+('Model inputs'!Z9-'Model inputs'!Z104)/12*(DATEDIF(DATE(2026,10,1),DATE(2027,11,1),"M")+1)</f>
        <v>-7206.0428740453</v>
      </c>
      <c r="Y42" s="12" t="n">
        <f aca="false">'Model inputs'!Y32+('Model inputs'!Z9-'Model inputs'!Z104)/12*(DATEDIF(DATE(2026,10,1),DATE(2027,12,1),"M")+1)</f>
        <v>-7639.25778914085</v>
      </c>
    </row>
    <row r="43" customFormat="false" ht="18" hidden="false" customHeight="false" outlineLevel="1" collapsed="false">
      <c r="A43" s="29" t="s">
        <v>248</v>
      </c>
      <c r="B43" s="12" t="n">
        <f aca="false">0</f>
        <v>0</v>
      </c>
      <c r="C43" s="12" t="n">
        <f aca="false">0</f>
        <v>0</v>
      </c>
      <c r="D43" s="12" t="n">
        <f aca="false">0</f>
        <v>0</v>
      </c>
      <c r="E43" s="12" t="n">
        <f aca="false">0</f>
        <v>0</v>
      </c>
      <c r="F43" s="12" t="n">
        <f aca="false">0</f>
        <v>0</v>
      </c>
      <c r="G43" s="12" t="n">
        <f aca="false">0</f>
        <v>0</v>
      </c>
      <c r="H43" s="12" t="n">
        <f aca="false">0</f>
        <v>0</v>
      </c>
      <c r="I43" s="12" t="n">
        <f aca="false">0</f>
        <v>0</v>
      </c>
      <c r="J43" s="12" t="n">
        <f aca="false">0</f>
        <v>0</v>
      </c>
      <c r="K43" s="12" t="n">
        <f aca="false">'Model inputs'!K32+('Model inputs'!Z9-'Model inputs'!Z105)/12*(DATEDIF(DATE(2026,10,1),DATE(2026,10,1),"M")+1)</f>
        <v>3642.807</v>
      </c>
      <c r="L43" s="12" t="n">
        <f aca="false">'Model inputs'!L32+('Model inputs'!Z9-'Model inputs'!Z105)/12*(DATEDIF(DATE(2026,10,1),DATE(2026,11,1),"M")+1)</f>
        <v>2869.05784</v>
      </c>
      <c r="M43" s="12" t="n">
        <f aca="false">'Model inputs'!M32+('Model inputs'!Z9-'Model inputs'!Z105)/12*(DATEDIF(DATE(2026,10,1),DATE(2026,12,1),"M")+1)</f>
        <v>2180.6515073</v>
      </c>
      <c r="N43" s="12" t="n">
        <f aca="false">'Model inputs'!N32+('Model inputs'!Z9-'Model inputs'!Z105)/12*(DATEDIF(DATE(2026,10,1),DATE(2027,1,1),"M")+1)</f>
        <v>1579.650134706</v>
      </c>
      <c r="O43" s="12" t="n">
        <f aca="false">'Model inputs'!O32+('Model inputs'!Z9-'Model inputs'!Z105)/12*(DATEDIF(DATE(2026,10,1),DATE(2027,2,1),"M")+1)</f>
        <v>1068.28511192107</v>
      </c>
      <c r="P43" s="12" t="n">
        <f aca="false">'Model inputs'!P32+('Model inputs'!Z9-'Model inputs'!Z105)/12*(DATEDIF(DATE(2026,10,1),DATE(2027,3,1),"M")+1)</f>
        <v>648.963563882501</v>
      </c>
      <c r="Q43" s="12" t="n">
        <f aca="false">'Model inputs'!Q32+('Model inputs'!Z9-'Model inputs'!Z105)/12*(DATEDIF(DATE(2026,10,1),DATE(2027,4,1),"M")+1)</f>
        <v>324.275212551041</v>
      </c>
      <c r="R43" s="12" t="n">
        <f aca="false">'Model inputs'!R32+('Model inputs'!Z9-'Model inputs'!Z105)/12*(DATEDIF(DATE(2026,10,1),DATE(2027,5,1),"M")+1)</f>
        <v>96.9996395387766</v>
      </c>
      <c r="S43" s="12" t="n">
        <f aca="false">'Model inputs'!S32+('Model inputs'!Z9-'Model inputs'!Z105)/12*(DATEDIF(DATE(2026,10,1),DATE(2027,6,1),"M")+1)</f>
        <v>-29.8860321149067</v>
      </c>
      <c r="T43" s="12" t="n">
        <f aca="false">'Model inputs'!T32+('Model inputs'!Z9-'Model inputs'!Z105)/12*(DATEDIF(DATE(2026,10,1),DATE(2027,7,1),"M")+1)</f>
        <v>-53.1990177423553</v>
      </c>
      <c r="U43" s="12" t="n">
        <f aca="false">'Model inputs'!U32+('Model inputs'!Z9-'Model inputs'!Z105)/12*(DATEDIF(DATE(2026,10,1),DATE(2027,8,1),"M")+1)</f>
        <v>30.4577078694746</v>
      </c>
      <c r="V43" s="12" t="n">
        <f aca="false">'Model inputs'!V32+('Model inputs'!Z9-'Model inputs'!Z105)/12*(DATEDIF(DATE(2026,10,1),DATE(2027,9,1),"M")+1)</f>
        <v>224.704469466928</v>
      </c>
      <c r="W43" s="12" t="n">
        <f aca="false">'Model inputs'!W32+('Model inputs'!Z9-'Model inputs'!Z105)/12*(DATEDIF(DATE(2026,10,1),DATE(2027,10,1),"M")+1)</f>
        <v>533.394452858134</v>
      </c>
      <c r="X43" s="12" t="n">
        <f aca="false">'Model inputs'!X32+('Model inputs'!Z9-'Model inputs'!Z105)/12*(DATEDIF(DATE(2026,10,1),DATE(2027,11,1),"M")+1)</f>
        <v>960.623792621365</v>
      </c>
      <c r="Y43" s="12" t="n">
        <f aca="false">'Model inputs'!Y32+('Model inputs'!Z9-'Model inputs'!Z105)/12*(DATEDIF(DATE(2026,10,1),DATE(2027,12,1),"M")+1)</f>
        <v>1110.74221085915</v>
      </c>
    </row>
    <row r="44" customFormat="false" ht="18" hidden="false" customHeight="false" outlineLevel="1" collapsed="false">
      <c r="A44" s="29" t="s">
        <v>249</v>
      </c>
      <c r="B44" s="12" t="n">
        <f aca="false">0</f>
        <v>0</v>
      </c>
      <c r="C44" s="12" t="n">
        <f aca="false">0</f>
        <v>0</v>
      </c>
      <c r="D44" s="12" t="n">
        <f aca="false">0</f>
        <v>0</v>
      </c>
      <c r="E44" s="12" t="n">
        <f aca="false">0</f>
        <v>0</v>
      </c>
      <c r="F44" s="12" t="n">
        <f aca="false">0</f>
        <v>0</v>
      </c>
      <c r="G44" s="12" t="n">
        <f aca="false">0</f>
        <v>0</v>
      </c>
      <c r="H44" s="12" t="n">
        <f aca="false">0</f>
        <v>0</v>
      </c>
      <c r="I44" s="12" t="n">
        <f aca="false">0</f>
        <v>0</v>
      </c>
      <c r="J44" s="12" t="n">
        <f aca="false">0</f>
        <v>0</v>
      </c>
      <c r="K44" s="12" t="n">
        <f aca="false">'Model inputs'!K32+('Model inputs'!Z9-'Model inputs'!Z106)/12*(DATEDIF(DATE(2026,10,1),DATE(2026,10,1),"M")+1)</f>
        <v>3892.807</v>
      </c>
      <c r="L44" s="12" t="n">
        <f aca="false">'Model inputs'!L32+('Model inputs'!Z9-'Model inputs'!Z106)/12*(DATEDIF(DATE(2026,10,1),DATE(2026,11,1),"M")+1)</f>
        <v>3369.05784</v>
      </c>
      <c r="M44" s="12" t="n">
        <f aca="false">'Model inputs'!M32+('Model inputs'!Z9-'Model inputs'!Z106)/12*(DATEDIF(DATE(2026,10,1),DATE(2026,12,1),"M")+1)</f>
        <v>2930.6515073</v>
      </c>
      <c r="N44" s="12" t="n">
        <f aca="false">'Model inputs'!N32+('Model inputs'!Z9-'Model inputs'!Z106)/12*(DATEDIF(DATE(2026,10,1),DATE(2027,1,1),"M")+1)</f>
        <v>2579.650134706</v>
      </c>
      <c r="O44" s="12" t="n">
        <f aca="false">'Model inputs'!O32+('Model inputs'!Z9-'Model inputs'!Z106)/12*(DATEDIF(DATE(2026,10,1),DATE(2027,2,1),"M")+1)</f>
        <v>2318.28511192107</v>
      </c>
      <c r="P44" s="12" t="n">
        <f aca="false">'Model inputs'!P32+('Model inputs'!Z9-'Model inputs'!Z106)/12*(DATEDIF(DATE(2026,10,1),DATE(2027,3,1),"M")+1)</f>
        <v>2148.9635638825</v>
      </c>
      <c r="Q44" s="12" t="n">
        <f aca="false">'Model inputs'!Q32+('Model inputs'!Z9-'Model inputs'!Z106)/12*(DATEDIF(DATE(2026,10,1),DATE(2027,4,1),"M")+1)</f>
        <v>2074.27521255104</v>
      </c>
      <c r="R44" s="12" t="n">
        <f aca="false">'Model inputs'!R32+('Model inputs'!Z9-'Model inputs'!Z106)/12*(DATEDIF(DATE(2026,10,1),DATE(2027,5,1),"M")+1)</f>
        <v>2096.99963953878</v>
      </c>
      <c r="S44" s="12" t="n">
        <f aca="false">'Model inputs'!S32+('Model inputs'!Z9-'Model inputs'!Z106)/12*(DATEDIF(DATE(2026,10,1),DATE(2027,6,1),"M")+1)</f>
        <v>2220.11396788509</v>
      </c>
      <c r="T44" s="12" t="n">
        <f aca="false">'Model inputs'!T32+('Model inputs'!Z9-'Model inputs'!Z106)/12*(DATEDIF(DATE(2026,10,1),DATE(2027,7,1),"M")+1)</f>
        <v>2446.80098225764</v>
      </c>
      <c r="U44" s="12" t="n">
        <f aca="false">'Model inputs'!U32+('Model inputs'!Z9-'Model inputs'!Z106)/12*(DATEDIF(DATE(2026,10,1),DATE(2027,8,1),"M")+1)</f>
        <v>2780.45770786947</v>
      </c>
      <c r="V44" s="12" t="n">
        <f aca="false">'Model inputs'!V32+('Model inputs'!Z9-'Model inputs'!Z106)/12*(DATEDIF(DATE(2026,10,1),DATE(2027,9,1),"M")+1)</f>
        <v>3224.70446946693</v>
      </c>
      <c r="W44" s="12" t="n">
        <f aca="false">'Model inputs'!W32+('Model inputs'!Z9-'Model inputs'!Z106)/12*(DATEDIF(DATE(2026,10,1),DATE(2027,10,1),"M")+1)</f>
        <v>3783.39445285813</v>
      </c>
      <c r="X44" s="12" t="n">
        <f aca="false">'Model inputs'!X32+('Model inputs'!Z9-'Model inputs'!Z106)/12*(DATEDIF(DATE(2026,10,1),DATE(2027,11,1),"M")+1)</f>
        <v>4460.62379262137</v>
      </c>
      <c r="Y44" s="12" t="n">
        <f aca="false">'Model inputs'!Y32+('Model inputs'!Z9-'Model inputs'!Z106)/12*(DATEDIF(DATE(2026,10,1),DATE(2027,12,1),"M")+1)</f>
        <v>4860.74221085915</v>
      </c>
    </row>
    <row r="45" customFormat="false" ht="18" hidden="false" customHeight="false" outlineLevel="0" collapsed="false">
      <c r="A45" s="27" t="s">
        <v>194</v>
      </c>
      <c r="B45" s="16" t="n">
        <f aca="false">SUM('Model inputs'!B46,'Model inputs'!B47,'Model inputs'!B48)</f>
        <v>0</v>
      </c>
      <c r="C45" s="16" t="n">
        <f aca="false">SUM('Model inputs'!C46,'Model inputs'!C47,'Model inputs'!C48)</f>
        <v>0</v>
      </c>
      <c r="D45" s="16" t="n">
        <f aca="false">SUM('Model inputs'!D46,'Model inputs'!D47,'Model inputs'!D48)</f>
        <v>0</v>
      </c>
      <c r="E45" s="16" t="n">
        <f aca="false">SUM('Model inputs'!E46,'Model inputs'!E47,'Model inputs'!E48)</f>
        <v>0</v>
      </c>
      <c r="F45" s="16" t="n">
        <f aca="false">SUM('Model inputs'!F46,'Model inputs'!F47,'Model inputs'!F48)</f>
        <v>0</v>
      </c>
      <c r="G45" s="16" t="n">
        <f aca="false">SUM('Model inputs'!G46,'Model inputs'!G47,'Model inputs'!G48)</f>
        <v>0</v>
      </c>
      <c r="H45" s="16" t="n">
        <f aca="false">SUM('Model inputs'!H46,'Model inputs'!H47,'Model inputs'!H48)</f>
        <v>0</v>
      </c>
      <c r="I45" s="16" t="n">
        <f aca="false">SUM('Model inputs'!I46,'Model inputs'!I47,'Model inputs'!I48)</f>
        <v>0</v>
      </c>
      <c r="J45" s="16" t="n">
        <f aca="false">SUM('Model inputs'!J46,'Model inputs'!J47,'Model inputs'!J48)</f>
        <v>0</v>
      </c>
      <c r="K45" s="16" t="str">
        <f aca="false">""</f>
        <v/>
      </c>
      <c r="L45" s="16" t="str">
        <f aca="false">""</f>
        <v/>
      </c>
      <c r="M45" s="16" t="str">
        <f aca="false">""</f>
        <v/>
      </c>
      <c r="N45" s="16" t="str">
        <f aca="false">""</f>
        <v/>
      </c>
      <c r="O45" s="16" t="str">
        <f aca="false">""</f>
        <v/>
      </c>
      <c r="P45" s="16" t="str">
        <f aca="false">""</f>
        <v/>
      </c>
      <c r="Q45" s="16" t="str">
        <f aca="false">""</f>
        <v/>
      </c>
      <c r="R45" s="16" t="str">
        <f aca="false">""</f>
        <v/>
      </c>
      <c r="S45" s="16" t="str">
        <f aca="false">""</f>
        <v/>
      </c>
      <c r="T45" s="16" t="str">
        <f aca="false">""</f>
        <v/>
      </c>
      <c r="U45" s="16" t="str">
        <f aca="false">""</f>
        <v/>
      </c>
      <c r="V45" s="16" t="str">
        <f aca="false">""</f>
        <v/>
      </c>
      <c r="W45" s="16" t="str">
        <f aca="false">""</f>
        <v/>
      </c>
      <c r="X45" s="16" t="str">
        <f aca="false">""</f>
        <v/>
      </c>
      <c r="Y45" s="16" t="str">
        <f aca="false">""</f>
        <v/>
      </c>
    </row>
    <row r="46" customFormat="false" ht="18" hidden="false" customHeight="false" outlineLevel="1" collapsed="false">
      <c r="A46" s="29" t="s">
        <v>250</v>
      </c>
      <c r="B46" s="12" t="n">
        <f aca="false">0</f>
        <v>0</v>
      </c>
      <c r="C46" s="12" t="n">
        <f aca="false">0</f>
        <v>0</v>
      </c>
      <c r="D46" s="12" t="n">
        <f aca="false">0</f>
        <v>0</v>
      </c>
      <c r="E46" s="12" t="n">
        <f aca="false">0</f>
        <v>0</v>
      </c>
      <c r="F46" s="12" t="n">
        <f aca="false">0</f>
        <v>0</v>
      </c>
      <c r="G46" s="12" t="n">
        <f aca="false">0</f>
        <v>0</v>
      </c>
      <c r="H46" s="12" t="n">
        <f aca="false">0</f>
        <v>0</v>
      </c>
      <c r="I46" s="12" t="n">
        <f aca="false">0</f>
        <v>0</v>
      </c>
      <c r="J46" s="12" t="n">
        <f aca="false">0</f>
        <v>0</v>
      </c>
      <c r="K46" s="12" t="n">
        <f aca="false">'Model inputs'!K72+('Model inputs'!Z9-'Model inputs'!Z104)/12</f>
        <v>-1440.52633333333</v>
      </c>
      <c r="L46" s="12" t="n">
        <f aca="false">'Model inputs'!L72+('Model inputs'!Z9-'Model inputs'!Z104)/12</f>
        <v>-1357.08249333333</v>
      </c>
      <c r="M46" s="12" t="n">
        <f aca="false">'Model inputs'!M72+('Model inputs'!Z9-'Model inputs'!Z104)/12</f>
        <v>-1271.73966603333</v>
      </c>
      <c r="N46" s="12" t="n">
        <f aca="false">'Model inputs'!N72+('Model inputs'!Z9-'Model inputs'!Z104)/12</f>
        <v>-1184.33470592733</v>
      </c>
      <c r="O46" s="12" t="n">
        <f aca="false">'Model inputs'!O72+('Model inputs'!Z9-'Model inputs'!Z104)/12</f>
        <v>-1094.69835611826</v>
      </c>
      <c r="P46" s="12" t="n">
        <f aca="false">'Model inputs'!P72+('Model inputs'!Z9-'Model inputs'!Z104)/12</f>
        <v>-1002.6548813719</v>
      </c>
      <c r="Q46" s="12" t="n">
        <f aca="false">'Model inputs'!Q72+('Model inputs'!Z9-'Model inputs'!Z104)/12</f>
        <v>-908.021684664793</v>
      </c>
      <c r="R46" s="12" t="n">
        <f aca="false">'Model inputs'!R72+('Model inputs'!Z9-'Model inputs'!Z104)/12</f>
        <v>-810.608906345598</v>
      </c>
      <c r="S46" s="12" t="n">
        <f aca="false">'Model inputs'!S72+('Model inputs'!Z9-'Model inputs'!Z104)/12</f>
        <v>-710.219004987017</v>
      </c>
      <c r="T46" s="12" t="n">
        <f aca="false">'Model inputs'!T72+('Model inputs'!Z9-'Model inputs'!Z104)/12</f>
        <v>-606.646318960782</v>
      </c>
      <c r="U46" s="12" t="n">
        <f aca="false">'Model inputs'!U72+('Model inputs'!Z9-'Model inputs'!Z104)/12</f>
        <v>-499.676607721504</v>
      </c>
      <c r="V46" s="12" t="n">
        <f aca="false">'Model inputs'!V72+('Model inputs'!Z9-'Model inputs'!Z104)/12</f>
        <v>-389.08657173588</v>
      </c>
      <c r="W46" s="12" t="n">
        <f aca="false">'Model inputs'!W72+('Model inputs'!Z9-'Model inputs'!Z104)/12</f>
        <v>-274.643349942127</v>
      </c>
      <c r="X46" s="12" t="n">
        <f aca="false">'Model inputs'!X72+('Model inputs'!Z9-'Model inputs'!Z104)/12</f>
        <v>-156.103993570102</v>
      </c>
      <c r="Y46" s="12" t="n">
        <f aca="false">'Model inputs'!Y72+('Model inputs'!Z9-'Model inputs'!Z104)/12</f>
        <v>-433.214915095551</v>
      </c>
    </row>
    <row r="47" customFormat="false" ht="18" hidden="false" customHeight="false" outlineLevel="1" collapsed="false">
      <c r="A47" s="29" t="s">
        <v>251</v>
      </c>
      <c r="B47" s="12" t="n">
        <f aca="false">0</f>
        <v>0</v>
      </c>
      <c r="C47" s="12" t="n">
        <f aca="false">0</f>
        <v>0</v>
      </c>
      <c r="D47" s="12" t="n">
        <f aca="false">0</f>
        <v>0</v>
      </c>
      <c r="E47" s="12" t="n">
        <f aca="false">0</f>
        <v>0</v>
      </c>
      <c r="F47" s="12" t="n">
        <f aca="false">0</f>
        <v>0</v>
      </c>
      <c r="G47" s="12" t="n">
        <f aca="false">0</f>
        <v>0</v>
      </c>
      <c r="H47" s="12" t="n">
        <f aca="false">0</f>
        <v>0</v>
      </c>
      <c r="I47" s="12" t="n">
        <f aca="false">0</f>
        <v>0</v>
      </c>
      <c r="J47" s="12" t="n">
        <f aca="false">0</f>
        <v>0</v>
      </c>
      <c r="K47" s="12" t="n">
        <f aca="false">'Model inputs'!K72+('Model inputs'!Z9-'Model inputs'!Z105)/12</f>
        <v>-857.193</v>
      </c>
      <c r="L47" s="12" t="n">
        <f aca="false">'Model inputs'!L72+('Model inputs'!Z9-'Model inputs'!Z105)/12</f>
        <v>-773.74916</v>
      </c>
      <c r="M47" s="12" t="n">
        <f aca="false">'Model inputs'!M72+('Model inputs'!Z9-'Model inputs'!Z105)/12</f>
        <v>-688.4063327</v>
      </c>
      <c r="N47" s="12" t="n">
        <f aca="false">'Model inputs'!N72+('Model inputs'!Z9-'Model inputs'!Z105)/12</f>
        <v>-601.001372594</v>
      </c>
      <c r="O47" s="12" t="n">
        <f aca="false">'Model inputs'!O72+('Model inputs'!Z9-'Model inputs'!Z105)/12</f>
        <v>-511.36502278493</v>
      </c>
      <c r="P47" s="12" t="n">
        <f aca="false">'Model inputs'!P72+('Model inputs'!Z9-'Model inputs'!Z105)/12</f>
        <v>-419.32154803857</v>
      </c>
      <c r="Q47" s="12" t="n">
        <f aca="false">'Model inputs'!Q72+('Model inputs'!Z9-'Model inputs'!Z105)/12</f>
        <v>-324.688351331459</v>
      </c>
      <c r="R47" s="12" t="n">
        <f aca="false">'Model inputs'!R72+('Model inputs'!Z9-'Model inputs'!Z105)/12</f>
        <v>-227.275573012265</v>
      </c>
      <c r="S47" s="12" t="n">
        <f aca="false">'Model inputs'!S72+('Model inputs'!Z9-'Model inputs'!Z105)/12</f>
        <v>-126.885671653683</v>
      </c>
      <c r="T47" s="12" t="n">
        <f aca="false">'Model inputs'!T72+('Model inputs'!Z9-'Model inputs'!Z105)/12</f>
        <v>-23.3129856274486</v>
      </c>
      <c r="U47" s="12" t="n">
        <f aca="false">'Model inputs'!U72+('Model inputs'!Z9-'Model inputs'!Z105)/12</f>
        <v>83.6567256118299</v>
      </c>
      <c r="V47" s="12" t="n">
        <f aca="false">'Model inputs'!V72+('Model inputs'!Z9-'Model inputs'!Z105)/12</f>
        <v>194.246761597453</v>
      </c>
      <c r="W47" s="12" t="n">
        <f aca="false">'Model inputs'!W72+('Model inputs'!Z9-'Model inputs'!Z105)/12</f>
        <v>308.689983391206</v>
      </c>
      <c r="X47" s="12" t="n">
        <f aca="false">'Model inputs'!X72+('Model inputs'!Z9-'Model inputs'!Z105)/12</f>
        <v>427.229339763231</v>
      </c>
      <c r="Y47" s="12" t="n">
        <f aca="false">'Model inputs'!Y72+('Model inputs'!Z9-'Model inputs'!Z105)/12</f>
        <v>150.118418237783</v>
      </c>
    </row>
    <row r="48" customFormat="false" ht="18" hidden="false" customHeight="false" outlineLevel="1" collapsed="false">
      <c r="A48" s="29" t="s">
        <v>252</v>
      </c>
      <c r="B48" s="12" t="n">
        <f aca="false">0</f>
        <v>0</v>
      </c>
      <c r="C48" s="12" t="n">
        <f aca="false">0</f>
        <v>0</v>
      </c>
      <c r="D48" s="12" t="n">
        <f aca="false">0</f>
        <v>0</v>
      </c>
      <c r="E48" s="12" t="n">
        <f aca="false">0</f>
        <v>0</v>
      </c>
      <c r="F48" s="12" t="n">
        <f aca="false">0</f>
        <v>0</v>
      </c>
      <c r="G48" s="12" t="n">
        <f aca="false">0</f>
        <v>0</v>
      </c>
      <c r="H48" s="12" t="n">
        <f aca="false">0</f>
        <v>0</v>
      </c>
      <c r="I48" s="12" t="n">
        <f aca="false">0</f>
        <v>0</v>
      </c>
      <c r="J48" s="12" t="n">
        <f aca="false">0</f>
        <v>0</v>
      </c>
      <c r="K48" s="12" t="n">
        <f aca="false">'Model inputs'!K72+('Model inputs'!Z9-'Model inputs'!Z106)/12</f>
        <v>-607.193</v>
      </c>
      <c r="L48" s="12" t="n">
        <f aca="false">'Model inputs'!L72+('Model inputs'!Z9-'Model inputs'!Z106)/12</f>
        <v>-523.74916</v>
      </c>
      <c r="M48" s="12" t="n">
        <f aca="false">'Model inputs'!M72+('Model inputs'!Z9-'Model inputs'!Z106)/12</f>
        <v>-438.4063327</v>
      </c>
      <c r="N48" s="12" t="n">
        <f aca="false">'Model inputs'!N72+('Model inputs'!Z9-'Model inputs'!Z106)/12</f>
        <v>-351.001372594</v>
      </c>
      <c r="O48" s="12" t="n">
        <f aca="false">'Model inputs'!O72+('Model inputs'!Z9-'Model inputs'!Z106)/12</f>
        <v>-261.36502278493</v>
      </c>
      <c r="P48" s="12" t="n">
        <f aca="false">'Model inputs'!P72+('Model inputs'!Z9-'Model inputs'!Z106)/12</f>
        <v>-169.32154803857</v>
      </c>
      <c r="Q48" s="12" t="n">
        <f aca="false">'Model inputs'!Q72+('Model inputs'!Z9-'Model inputs'!Z106)/12</f>
        <v>-74.6883513314593</v>
      </c>
      <c r="R48" s="12" t="n">
        <f aca="false">'Model inputs'!R72+('Model inputs'!Z9-'Model inputs'!Z106)/12</f>
        <v>22.7244269877352</v>
      </c>
      <c r="S48" s="12" t="n">
        <f aca="false">'Model inputs'!S72+('Model inputs'!Z9-'Model inputs'!Z106)/12</f>
        <v>123.114328346317</v>
      </c>
      <c r="T48" s="12" t="n">
        <f aca="false">'Model inputs'!T72+('Model inputs'!Z9-'Model inputs'!Z106)/12</f>
        <v>226.687014372551</v>
      </c>
      <c r="U48" s="12" t="n">
        <f aca="false">'Model inputs'!U72+('Model inputs'!Z9-'Model inputs'!Z106)/12</f>
        <v>333.65672561183</v>
      </c>
      <c r="V48" s="12" t="n">
        <f aca="false">'Model inputs'!V72+('Model inputs'!Z9-'Model inputs'!Z106)/12</f>
        <v>444.246761597453</v>
      </c>
      <c r="W48" s="12" t="n">
        <f aca="false">'Model inputs'!W72+('Model inputs'!Z9-'Model inputs'!Z106)/12</f>
        <v>558.689983391206</v>
      </c>
      <c r="X48" s="12" t="n">
        <f aca="false">'Model inputs'!X72+('Model inputs'!Z9-'Model inputs'!Z106)/12</f>
        <v>677.229339763231</v>
      </c>
      <c r="Y48" s="12" t="n">
        <f aca="false">'Model inputs'!Y72+('Model inputs'!Z9-'Model inputs'!Z106)/12</f>
        <v>400.118418237783</v>
      </c>
    </row>
    <row r="49" customFormat="false" ht="18" hidden="false" customHeight="false" outlineLevel="0" collapsed="false">
      <c r="A49" s="27" t="s">
        <v>253</v>
      </c>
      <c r="Z49" s="12" t="n">
        <f aca="false">'Model inputs'!Z62+'Model inputs'!Z111+'Model inputs'!Z67+'Model inputs'!Z69+'Model inputs'!Z9/12+'Model inputs'!Z51+'Model inputs'!Z57*'Model inputs'!Z25*'Model inputs'!Z29</f>
        <v>1010.6</v>
      </c>
    </row>
    <row r="50" customFormat="false" ht="18" hidden="false" customHeight="false" outlineLevel="0" collapsed="false">
      <c r="A50" s="27" t="s">
        <v>254</v>
      </c>
      <c r="AA50" s="12" t="n">
        <f aca="false">'Model inputs'!Z62+'Model inputs'!Z111+'Model inputs'!Z67+'Model inputs'!Z69+'Model inputs'!Z9/12+'Model inputs'!Z51+'Model inputs'!Z57*'Model inputs'!Z25*'Model inputs'!Z29</f>
        <v>1010.6</v>
      </c>
    </row>
    <row r="51" customFormat="false" ht="18" hidden="false" customHeight="false" outlineLevel="0" collapsed="false">
      <c r="A51" s="27" t="s">
        <v>255</v>
      </c>
      <c r="Z51" s="12" t="n">
        <f aca="false">'Gainsay drivers · Gainsay fixed'!B19</f>
        <v>500</v>
      </c>
    </row>
    <row r="52" customFormat="false" ht="18" hidden="false" customHeight="false" outlineLevel="0" collapsed="false">
      <c r="A52" s="27" t="s">
        <v>256</v>
      </c>
      <c r="AA52" s="12" t="n">
        <f aca="false">'Gainsay drivers · Gainsay fixed'!B19</f>
        <v>500</v>
      </c>
    </row>
    <row r="53" customFormat="false" ht="18" hidden="false" customHeight="false" outlineLevel="0" collapsed="false">
      <c r="A53" s="27" t="s">
        <v>71</v>
      </c>
      <c r="AA53" s="22" t="n">
        <f aca="false">'Gainsay drivers · Gainsay fixed'!B26</f>
        <v>60</v>
      </c>
    </row>
    <row r="54" customFormat="false" ht="18" hidden="false" customHeight="false" outlineLevel="0" collapsed="false">
      <c r="A54" s="27" t="s">
        <v>257</v>
      </c>
      <c r="B54" s="22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f aca="false">'Model inputs'!K145*'Model inputs'!Z25</f>
        <v>600</v>
      </c>
      <c r="L54" s="22" t="n">
        <f aca="false">'Model inputs'!L145*'Model inputs'!Z25</f>
        <v>600</v>
      </c>
      <c r="M54" s="22" t="n">
        <f aca="false">'Model inputs'!M145*'Model inputs'!Z25</f>
        <v>600</v>
      </c>
      <c r="N54" s="22" t="n">
        <f aca="false">'Model inputs'!N145*'Model inputs'!Z25</f>
        <v>600</v>
      </c>
      <c r="O54" s="22" t="n">
        <f aca="false">'Model inputs'!O145*'Model inputs'!Z25</f>
        <v>600</v>
      </c>
      <c r="P54" s="22" t="n">
        <f aca="false">'Model inputs'!P145*'Model inputs'!Z25</f>
        <v>600</v>
      </c>
      <c r="Q54" s="22" t="n">
        <f aca="false">'Model inputs'!Q145*'Model inputs'!Z25</f>
        <v>600</v>
      </c>
      <c r="R54" s="22" t="n">
        <f aca="false">'Model inputs'!R145*'Model inputs'!Z25</f>
        <v>600</v>
      </c>
      <c r="S54" s="22" t="n">
        <f aca="false">'Model inputs'!S145*'Model inputs'!Z25</f>
        <v>600</v>
      </c>
      <c r="T54" s="22" t="n">
        <f aca="false">'Model inputs'!T145*'Model inputs'!Z25</f>
        <v>600</v>
      </c>
      <c r="U54" s="22" t="n">
        <f aca="false">'Model inputs'!U145*'Model inputs'!Z25</f>
        <v>600</v>
      </c>
      <c r="V54" s="22" t="n">
        <f aca="false">'Model inputs'!V145*'Model inputs'!Z25</f>
        <v>600</v>
      </c>
      <c r="W54" s="22" t="n">
        <f aca="false">'Model inputs'!W145*'Model inputs'!Z25</f>
        <v>600</v>
      </c>
      <c r="X54" s="22" t="n">
        <f aca="false">'Model inputs'!X145*'Model inputs'!Z25</f>
        <v>600</v>
      </c>
      <c r="Y54" s="22" t="n">
        <f aca="false">'Model inputs'!Y145*'Model inputs'!Z25</f>
        <v>600</v>
      </c>
    </row>
    <row r="55" customFormat="false" ht="18" hidden="false" customHeight="false" outlineLevel="0" collapsed="false">
      <c r="A55" s="27" t="s">
        <v>258</v>
      </c>
      <c r="B55" s="22" t="n">
        <v>0</v>
      </c>
      <c r="C55" s="22" t="n">
        <v>0</v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f aca="false">'Model inputs'!K173*'Model inputs'!AA151</f>
        <v>600</v>
      </c>
      <c r="L55" s="22" t="n">
        <f aca="false">'Model inputs'!L173*'Model inputs'!AA151</f>
        <v>600</v>
      </c>
      <c r="M55" s="22" t="n">
        <f aca="false">'Model inputs'!M173*'Model inputs'!AA151</f>
        <v>600</v>
      </c>
      <c r="N55" s="22" t="n">
        <f aca="false">'Model inputs'!N173*'Model inputs'!AA151</f>
        <v>600</v>
      </c>
      <c r="O55" s="22" t="n">
        <f aca="false">'Model inputs'!O173*'Model inputs'!AA151</f>
        <v>600</v>
      </c>
      <c r="P55" s="22" t="n">
        <f aca="false">'Model inputs'!P173*'Model inputs'!AA151</f>
        <v>600</v>
      </c>
      <c r="Q55" s="22" t="n">
        <f aca="false">'Model inputs'!Q173*'Model inputs'!AA151</f>
        <v>600</v>
      </c>
      <c r="R55" s="22" t="n">
        <f aca="false">'Model inputs'!R173*'Model inputs'!AA151</f>
        <v>600</v>
      </c>
      <c r="S55" s="22" t="n">
        <f aca="false">'Model inputs'!S173*'Model inputs'!AA151</f>
        <v>600</v>
      </c>
      <c r="T55" s="22" t="n">
        <f aca="false">'Model inputs'!T173*'Model inputs'!AA151</f>
        <v>600</v>
      </c>
      <c r="U55" s="22" t="n">
        <f aca="false">'Model inputs'!U173*'Model inputs'!AA151</f>
        <v>600</v>
      </c>
      <c r="V55" s="22" t="n">
        <f aca="false">'Model inputs'!V173*'Model inputs'!AA151</f>
        <v>600</v>
      </c>
      <c r="W55" s="22" t="n">
        <f aca="false">'Model inputs'!W173*'Model inputs'!AA151</f>
        <v>600</v>
      </c>
      <c r="X55" s="22" t="n">
        <f aca="false">'Model inputs'!X173*'Model inputs'!AA151</f>
        <v>600</v>
      </c>
      <c r="Y55" s="22" t="n">
        <f aca="false">'Model inputs'!Y173*'Model inputs'!AA151</f>
        <v>600</v>
      </c>
    </row>
    <row r="56" customFormat="false" ht="18" hidden="false" customHeight="false" outlineLevel="0" collapsed="false">
      <c r="A56" s="27" t="s">
        <v>259</v>
      </c>
      <c r="B56" s="22" t="n">
        <v>0</v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f aca="false">'Model inputs'!K174*'Model inputs'!AA152</f>
        <v>600</v>
      </c>
      <c r="L56" s="22" t="n">
        <f aca="false">'Model inputs'!L174*'Model inputs'!AA152</f>
        <v>600</v>
      </c>
      <c r="M56" s="22" t="n">
        <f aca="false">'Model inputs'!M174*'Model inputs'!AA152</f>
        <v>600</v>
      </c>
      <c r="N56" s="22" t="n">
        <f aca="false">'Model inputs'!N174*'Model inputs'!AA152</f>
        <v>600</v>
      </c>
      <c r="O56" s="22" t="n">
        <f aca="false">'Model inputs'!O174*'Model inputs'!AA152</f>
        <v>600</v>
      </c>
      <c r="P56" s="22" t="n">
        <f aca="false">'Model inputs'!P174*'Model inputs'!AA152</f>
        <v>600</v>
      </c>
      <c r="Q56" s="22" t="n">
        <f aca="false">'Model inputs'!Q174*'Model inputs'!AA152</f>
        <v>600</v>
      </c>
      <c r="R56" s="22" t="n">
        <f aca="false">'Model inputs'!R174*'Model inputs'!AA152</f>
        <v>600</v>
      </c>
      <c r="S56" s="22" t="n">
        <f aca="false">'Model inputs'!S174*'Model inputs'!AA152</f>
        <v>600</v>
      </c>
      <c r="T56" s="22" t="n">
        <f aca="false">'Model inputs'!T174*'Model inputs'!AA152</f>
        <v>600</v>
      </c>
      <c r="U56" s="22" t="n">
        <f aca="false">'Model inputs'!U174*'Model inputs'!AA152</f>
        <v>600</v>
      </c>
      <c r="V56" s="22" t="n">
        <f aca="false">'Model inputs'!V174*'Model inputs'!AA152</f>
        <v>600</v>
      </c>
      <c r="W56" s="22" t="n">
        <f aca="false">'Model inputs'!W174*'Model inputs'!AA152</f>
        <v>600</v>
      </c>
      <c r="X56" s="22" t="n">
        <f aca="false">'Model inputs'!X174*'Model inputs'!AA152</f>
        <v>600</v>
      </c>
      <c r="Y56" s="22" t="n">
        <f aca="false">'Model inputs'!Y174*'Model inputs'!AA152</f>
        <v>600</v>
      </c>
    </row>
    <row r="57" customFormat="false" ht="18" hidden="false" customHeight="false" outlineLevel="0" collapsed="false">
      <c r="A57" s="27" t="s">
        <v>260</v>
      </c>
      <c r="Z57" s="22" t="n">
        <f aca="false">'Gainsay drivers · Gainsay fixed'!B11</f>
        <v>20</v>
      </c>
    </row>
    <row r="58" customFormat="false" ht="18" hidden="false" customHeight="false" outlineLevel="0" collapsed="false">
      <c r="A58" s="27" t="s">
        <v>261</v>
      </c>
      <c r="AA58" s="22" t="n">
        <f aca="false">'Gainsay drivers · Gainsay fixed'!B11</f>
        <v>20</v>
      </c>
    </row>
    <row r="59" customFormat="false" ht="18" hidden="false" customHeight="false" outlineLevel="0" collapsed="false">
      <c r="A59" s="27" t="s">
        <v>262</v>
      </c>
      <c r="B59" s="12" t="n">
        <v>0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f aca="false">'Model inputs'!K119-'Model inputs'!K133-'Model inputs'!K130-'Model inputs'!K134-'Model inputs'!Z62-'Model inputs'!K127</f>
        <v>-127.193</v>
      </c>
      <c r="L59" s="12" t="n">
        <f aca="false">'Model inputs'!L119-'Model inputs'!L133-'Model inputs'!L130-'Model inputs'!L134-'Model inputs'!Z62-'Model inputs'!L127</f>
        <v>-43.74916</v>
      </c>
      <c r="M59" s="12" t="n">
        <f aca="false">'Model inputs'!M119-'Model inputs'!M133-'Model inputs'!M130-'Model inputs'!M134-'Model inputs'!Z62-'Model inputs'!M127</f>
        <v>41.5936673000001</v>
      </c>
      <c r="N59" s="12" t="n">
        <f aca="false">'Model inputs'!N119-'Model inputs'!N133-'Model inputs'!N130-'Model inputs'!N134-'Model inputs'!Z62-'Model inputs'!N127</f>
        <v>128.998627406</v>
      </c>
      <c r="O59" s="12" t="n">
        <f aca="false">'Model inputs'!O119-'Model inputs'!O133-'Model inputs'!O130-'Model inputs'!O134-'Model inputs'!Z62-'Model inputs'!O127</f>
        <v>218.63497721507</v>
      </c>
      <c r="P59" s="12" t="n">
        <f aca="false">'Model inputs'!P119-'Model inputs'!P133-'Model inputs'!P130-'Model inputs'!P134-'Model inputs'!Z62-'Model inputs'!P127</f>
        <v>310.678451961431</v>
      </c>
      <c r="Q59" s="12" t="n">
        <f aca="false">'Model inputs'!Q119-'Model inputs'!Q133-'Model inputs'!Q130-'Model inputs'!Q134-'Model inputs'!Z62-'Model inputs'!Q127</f>
        <v>405.311648668541</v>
      </c>
      <c r="R59" s="12" t="n">
        <f aca="false">'Model inputs'!R119-'Model inputs'!R133-'Model inputs'!R130-'Model inputs'!R134-'Model inputs'!Z62-'Model inputs'!R127</f>
        <v>502.724426987735</v>
      </c>
      <c r="S59" s="12" t="n">
        <f aca="false">'Model inputs'!S119-'Model inputs'!S133-'Model inputs'!S130-'Model inputs'!S134-'Model inputs'!Z62-'Model inputs'!S127</f>
        <v>603.114328346317</v>
      </c>
      <c r="T59" s="12" t="n">
        <f aca="false">'Model inputs'!T119-'Model inputs'!T133-'Model inputs'!T130-'Model inputs'!T134-'Model inputs'!Z62-'Model inputs'!T127</f>
        <v>706.687014372551</v>
      </c>
      <c r="U59" s="12" t="n">
        <f aca="false">'Model inputs'!U119-'Model inputs'!U133-'Model inputs'!U130-'Model inputs'!U134-'Model inputs'!Z62-'Model inputs'!U127</f>
        <v>813.65672561183</v>
      </c>
      <c r="V59" s="12" t="n">
        <f aca="false">'Model inputs'!V119-'Model inputs'!V133-'Model inputs'!V130-'Model inputs'!V134-'Model inputs'!Z62-'Model inputs'!V127</f>
        <v>924.246761597453</v>
      </c>
      <c r="W59" s="12" t="n">
        <f aca="false">'Model inputs'!W119-'Model inputs'!W133-'Model inputs'!W130-'Model inputs'!W134-'Model inputs'!Z62-'Model inputs'!W127</f>
        <v>1038.68998339121</v>
      </c>
      <c r="X59" s="12" t="n">
        <f aca="false">'Model inputs'!X119-'Model inputs'!X133-'Model inputs'!X130-'Model inputs'!X134-'Model inputs'!Z62-'Model inputs'!X127</f>
        <v>1157.22933976323</v>
      </c>
      <c r="Y59" s="12" t="n">
        <f aca="false">'Model inputs'!Y119-'Model inputs'!Y133-'Model inputs'!Y130-'Model inputs'!Y134-'Model inputs'!Z62-'Model inputs'!Y127</f>
        <v>1280.11841823778</v>
      </c>
    </row>
    <row r="60" customFormat="false" ht="18" hidden="false" customHeight="false" outlineLevel="0" collapsed="false">
      <c r="A60" s="27" t="s">
        <v>263</v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f aca="false">'Model inputs'!K120-'Model inputs'!K195-'Model inputs'!K170-'Model inputs'!K198-'Model inputs'!AA175-'Model inputs'!K159</f>
        <v>-216.916</v>
      </c>
      <c r="L60" s="12" t="n">
        <f aca="false">'Model inputs'!L120-'Model inputs'!L195-'Model inputs'!L170-'Model inputs'!L198-'Model inputs'!AA175-'Model inputs'!L159</f>
        <v>-192.17895</v>
      </c>
      <c r="M60" s="12" t="n">
        <f aca="false">'Model inputs'!M120-'Model inputs'!M195-'Model inputs'!M170-'Model inputs'!M198-'Model inputs'!AA175-'Model inputs'!M159</f>
        <v>-168.6787525</v>
      </c>
      <c r="N60" s="12" t="n">
        <f aca="false">'Model inputs'!N120-'Model inputs'!N195-'Model inputs'!N170-'Model inputs'!N198-'Model inputs'!AA175-'Model inputs'!N159</f>
        <v>-146.353564875</v>
      </c>
      <c r="O60" s="12" t="n">
        <f aca="false">'Model inputs'!O120-'Model inputs'!O195-'Model inputs'!O170-'Model inputs'!O198-'Model inputs'!AA175-'Model inputs'!O159</f>
        <v>-125.14463663125</v>
      </c>
      <c r="P60" s="12" t="n">
        <f aca="false">'Model inputs'!P120-'Model inputs'!P195-'Model inputs'!P170-'Model inputs'!P198-'Model inputs'!AA175-'Model inputs'!P159</f>
        <v>-104.996154799688</v>
      </c>
      <c r="Q60" s="12" t="n">
        <f aca="false">'Model inputs'!Q120-'Model inputs'!Q195-'Model inputs'!Q170-'Model inputs'!Q198-'Model inputs'!AA175-'Model inputs'!Q159</f>
        <v>-85.8550970597031</v>
      </c>
      <c r="R60" s="12" t="n">
        <f aca="false">'Model inputs'!R120-'Model inputs'!R195-'Model inputs'!R170-'Model inputs'!R198-'Model inputs'!AA175-'Model inputs'!R159</f>
        <v>-67.671092206718</v>
      </c>
      <c r="S60" s="12" t="n">
        <f aca="false">'Model inputs'!S120-'Model inputs'!S195-'Model inputs'!S170-'Model inputs'!S198-'Model inputs'!AA175-'Model inputs'!S159</f>
        <v>-50.3962875963821</v>
      </c>
      <c r="T60" s="12" t="n">
        <f aca="false">'Model inputs'!T120-'Model inputs'!T195-'Model inputs'!T170-'Model inputs'!T198-'Model inputs'!AA175-'Model inputs'!T159</f>
        <v>-33.985223216563</v>
      </c>
      <c r="U60" s="12" t="n">
        <f aca="false">'Model inputs'!U120-'Model inputs'!U195-'Model inputs'!U170-'Model inputs'!U198-'Model inputs'!AA175-'Model inputs'!U159</f>
        <v>-18.3947120557349</v>
      </c>
      <c r="V60" s="12" t="n">
        <f aca="false">'Model inputs'!V120-'Model inputs'!V195-'Model inputs'!V170-'Model inputs'!V198-'Model inputs'!AA175-'Model inputs'!V159</f>
        <v>-3.58372645294816</v>
      </c>
      <c r="W60" s="12" t="n">
        <f aca="false">'Model inputs'!W120-'Model inputs'!W195-'Model inputs'!W170-'Model inputs'!W198-'Model inputs'!AA175-'Model inputs'!W159</f>
        <v>10.4867098696993</v>
      </c>
      <c r="X60" s="12" t="n">
        <f aca="false">'Model inputs'!X120-'Model inputs'!X195-'Model inputs'!X170-'Model inputs'!X198-'Model inputs'!AA175-'Model inputs'!X159</f>
        <v>23.8536243762143</v>
      </c>
      <c r="Y60" s="12" t="n">
        <f aca="false">'Model inputs'!Y120-'Model inputs'!Y195-'Model inputs'!Y170-'Model inputs'!Y198-'Model inputs'!AA175-'Model inputs'!Y159</f>
        <v>36.5521931574036</v>
      </c>
    </row>
    <row r="61" customFormat="false" ht="18" hidden="false" customHeight="false" outlineLevel="0" collapsed="false">
      <c r="A61" s="27" t="s">
        <v>264</v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f aca="false">'Model inputs'!K121-'Model inputs'!K196-'Model inputs'!K171-'Model inputs'!K199-'Model inputs'!AA176-'Model inputs'!K160</f>
        <v>78.292</v>
      </c>
      <c r="L61" s="12" t="n">
        <f aca="false">'Model inputs'!L121-'Model inputs'!L196-'Model inputs'!L171-'Model inputs'!L199-'Model inputs'!AA176-'Model inputs'!L160</f>
        <v>318.32696</v>
      </c>
      <c r="M61" s="12" t="n">
        <f aca="false">'Model inputs'!M121-'Model inputs'!M196-'Model inputs'!M171-'Model inputs'!M199-'Model inputs'!AA176-'Model inputs'!M160</f>
        <v>578.2825008</v>
      </c>
      <c r="N61" s="12" t="n">
        <f aca="false">'Model inputs'!N121-'Model inputs'!N196-'Model inputs'!N171-'Model inputs'!N199-'Model inputs'!AA176-'Model inputs'!N160</f>
        <v>860.232338784</v>
      </c>
      <c r="O61" s="12" t="n">
        <f aca="false">'Model inputs'!O121-'Model inputs'!O196-'Model inputs'!O171-'Model inputs'!O199-'Model inputs'!AA176-'Model inputs'!O160</f>
        <v>1166.45592880832</v>
      </c>
      <c r="P61" s="12" t="n">
        <f aca="false">'Model inputs'!P121-'Model inputs'!P196-'Model inputs'!P171-'Model inputs'!P199-'Model inputs'!AA176-'Model inputs'!P160</f>
        <v>1499.45907071215</v>
      </c>
      <c r="Q61" s="12" t="n">
        <f aca="false">'Model inputs'!Q121-'Model inputs'!Q196-'Model inputs'!Q171-'Model inputs'!Q199-'Model inputs'!AA176-'Model inputs'!Q160</f>
        <v>1861.99657582591</v>
      </c>
      <c r="R61" s="12" t="n">
        <f aca="false">'Model inputs'!R121-'Model inputs'!R196-'Model inputs'!R171-'Model inputs'!R199-'Model inputs'!AA176-'Model inputs'!R160</f>
        <v>2257.09719949019</v>
      </c>
      <c r="S61" s="12" t="n">
        <f aca="false">'Model inputs'!S121-'Model inputs'!S196-'Model inputs'!S171-'Model inputs'!S199-'Model inputs'!AA176-'Model inputs'!S160</f>
        <v>2688.09106619927</v>
      </c>
      <c r="T61" s="12" t="n">
        <f aca="false">'Model inputs'!T121-'Model inputs'!T196-'Model inputs'!T171-'Model inputs'!T199-'Model inputs'!AA176-'Model inputs'!T160</f>
        <v>3158.63983664405</v>
      </c>
      <c r="U61" s="12" t="n">
        <f aca="false">'Model inputs'!U121-'Model inputs'!U196-'Model inputs'!U171-'Model inputs'!U199-'Model inputs'!AA176-'Model inputs'!U160</f>
        <v>3672.76989085682</v>
      </c>
      <c r="V61" s="12" t="n">
        <f aca="false">'Model inputs'!V121-'Model inputs'!V196-'Model inputs'!V171-'Model inputs'!V199-'Model inputs'!AA176-'Model inputs'!V160</f>
        <v>4234.90882907989</v>
      </c>
      <c r="W61" s="12" t="n">
        <f aca="false">'Model inputs'!W121-'Model inputs'!W196-'Model inputs'!W171-'Model inputs'!W199-'Model inputs'!AA176-'Model inputs'!W160</f>
        <v>4849.92562214252</v>
      </c>
      <c r="X61" s="12" t="n">
        <f aca="false">'Model inputs'!X121-'Model inputs'!X196-'Model inputs'!X171-'Model inputs'!X199-'Model inputs'!AA176-'Model inputs'!X160</f>
        <v>5523.17477630833</v>
      </c>
      <c r="Y61" s="12" t="n">
        <f aca="false">'Model inputs'!Y121-'Model inputs'!Y196-'Model inputs'!Y171-'Model inputs'!Y199-'Model inputs'!AA176-'Model inputs'!Y160</f>
        <v>6260.54491405168</v>
      </c>
    </row>
    <row r="62" customFormat="false" ht="18" hidden="false" customHeight="false" outlineLevel="0" collapsed="false">
      <c r="A62" s="27" t="s">
        <v>265</v>
      </c>
      <c r="Z62" s="12" t="n">
        <f aca="false">'Gainsay drivers · Gainsay fixed'!B15</f>
        <v>15</v>
      </c>
    </row>
    <row r="63" customFormat="false" ht="18" hidden="false" customHeight="false" outlineLevel="0" collapsed="false">
      <c r="A63" s="27" t="s">
        <v>266</v>
      </c>
      <c r="AA63" s="12" t="n">
        <f aca="false">'Gainsay drivers · Gainsay fixed'!B15</f>
        <v>15</v>
      </c>
    </row>
    <row r="64" customFormat="false" ht="18" hidden="false" customHeight="false" outlineLevel="0" collapsed="false">
      <c r="A64" s="27" t="s">
        <v>70</v>
      </c>
      <c r="AA64" s="22" t="n">
        <f aca="false">'Gainsay drivers · Gainsay fixed'!B25</f>
        <v>3</v>
      </c>
    </row>
    <row r="65" customFormat="false" ht="18" hidden="false" customHeight="false" outlineLevel="0" collapsed="false">
      <c r="A65" s="27" t="s">
        <v>267</v>
      </c>
      <c r="Z65" s="12" t="n">
        <f aca="false">'Gainsay drivers · Gainsay fixed'!B22</f>
        <v>500</v>
      </c>
    </row>
    <row r="66" customFormat="false" ht="18" hidden="false" customHeight="false" outlineLevel="0" collapsed="false">
      <c r="A66" s="27" t="s">
        <v>268</v>
      </c>
      <c r="AA66" s="12" t="n">
        <f aca="false">'Gainsay drivers · Gainsay fixed'!B22</f>
        <v>500</v>
      </c>
    </row>
    <row r="67" customFormat="false" ht="18" hidden="false" customHeight="false" outlineLevel="0" collapsed="false">
      <c r="A67" s="27" t="s">
        <v>269</v>
      </c>
      <c r="Z67" s="12" t="n">
        <f aca="false">'Gainsay drivers · Gainsay fixed'!B17</f>
        <v>100</v>
      </c>
    </row>
    <row r="68" customFormat="false" ht="18" hidden="false" customHeight="false" outlineLevel="0" collapsed="false">
      <c r="A68" s="27" t="s">
        <v>270</v>
      </c>
      <c r="AA68" s="12" t="n">
        <f aca="false">'Gainsay drivers · Gainsay fixed'!B17</f>
        <v>100</v>
      </c>
    </row>
    <row r="69" customFormat="false" ht="18" hidden="false" customHeight="false" outlineLevel="0" collapsed="false">
      <c r="A69" s="27" t="s">
        <v>271</v>
      </c>
      <c r="Z69" s="12" t="n">
        <f aca="false">'Gainsay drivers · Gainsay fixed'!B18</f>
        <v>100</v>
      </c>
    </row>
    <row r="70" customFormat="false" ht="18" hidden="false" customHeight="false" outlineLevel="0" collapsed="false">
      <c r="A70" s="27" t="s">
        <v>272</v>
      </c>
      <c r="AA70" s="12" t="n">
        <f aca="false">'Gainsay drivers · Gainsay fixed'!B18</f>
        <v>100</v>
      </c>
    </row>
    <row r="71" customFormat="false" ht="18" hidden="false" customHeight="false" outlineLevel="0" collapsed="false">
      <c r="A71" s="27" t="s">
        <v>273</v>
      </c>
      <c r="AA71" s="22" t="n">
        <f aca="false">'Gainsay drivers · Gainsay fixed'!B29</f>
        <v>0.8</v>
      </c>
    </row>
    <row r="72" customFormat="false" ht="18" hidden="false" customHeight="false" outlineLevel="0" collapsed="false">
      <c r="A72" s="27" t="s">
        <v>274</v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f aca="false">'Model inputs'!K119-'Model inputs'!K115-'Model inputs'!K116-'Model inputs'!K118</f>
        <v>-857.193</v>
      </c>
      <c r="L72" s="12" t="n">
        <f aca="false">'Model inputs'!L119-'Model inputs'!L115-'Model inputs'!L116-'Model inputs'!L118</f>
        <v>-773.74916</v>
      </c>
      <c r="M72" s="12" t="n">
        <f aca="false">'Model inputs'!M119-'Model inputs'!M115-'Model inputs'!M116-'Model inputs'!M118</f>
        <v>-688.4063327</v>
      </c>
      <c r="N72" s="12" t="n">
        <f aca="false">'Model inputs'!N119-'Model inputs'!N115-'Model inputs'!N116-'Model inputs'!N118</f>
        <v>-601.001372594</v>
      </c>
      <c r="O72" s="12" t="n">
        <f aca="false">'Model inputs'!O119-'Model inputs'!O115-'Model inputs'!O116-'Model inputs'!O118</f>
        <v>-511.36502278493</v>
      </c>
      <c r="P72" s="12" t="n">
        <f aca="false">'Model inputs'!P119-'Model inputs'!P115-'Model inputs'!P116-'Model inputs'!P118</f>
        <v>-419.32154803857</v>
      </c>
      <c r="Q72" s="12" t="n">
        <f aca="false">'Model inputs'!Q119-'Model inputs'!Q115-'Model inputs'!Q116-'Model inputs'!Q118</f>
        <v>-324.688351331459</v>
      </c>
      <c r="R72" s="12" t="n">
        <f aca="false">'Model inputs'!R119-'Model inputs'!R115-'Model inputs'!R116-'Model inputs'!R118</f>
        <v>-227.275573012265</v>
      </c>
      <c r="S72" s="12" t="n">
        <f aca="false">'Model inputs'!S119-'Model inputs'!S115-'Model inputs'!S116-'Model inputs'!S118</f>
        <v>-126.885671653683</v>
      </c>
      <c r="T72" s="12" t="n">
        <f aca="false">'Model inputs'!T119-'Model inputs'!T115-'Model inputs'!T116-'Model inputs'!T118</f>
        <v>-23.3129856274486</v>
      </c>
      <c r="U72" s="12" t="n">
        <f aca="false">'Model inputs'!U119-'Model inputs'!U115-'Model inputs'!U116-'Model inputs'!U118</f>
        <v>83.6567256118299</v>
      </c>
      <c r="V72" s="12" t="n">
        <f aca="false">'Model inputs'!V119-'Model inputs'!V115-'Model inputs'!V116-'Model inputs'!V118</f>
        <v>194.246761597453</v>
      </c>
      <c r="W72" s="12" t="n">
        <f aca="false">'Model inputs'!W119-'Model inputs'!W115-'Model inputs'!W116-'Model inputs'!W118</f>
        <v>308.689983391206</v>
      </c>
      <c r="X72" s="12" t="n">
        <f aca="false">'Model inputs'!X119-'Model inputs'!X115-'Model inputs'!X116-'Model inputs'!X118</f>
        <v>427.229339763231</v>
      </c>
      <c r="Y72" s="12" t="n">
        <f aca="false">'Model inputs'!Y119-'Model inputs'!Y115-'Model inputs'!Y116-'Model inputs'!Y118</f>
        <v>150.118418237783</v>
      </c>
    </row>
    <row r="73" customFormat="false" ht="18" hidden="false" customHeight="false" outlineLevel="0" collapsed="false">
      <c r="A73" s="27" t="s">
        <v>185</v>
      </c>
      <c r="B73" s="12" t="n">
        <v>0</v>
      </c>
      <c r="C73" s="12" t="n">
        <v>0</v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f aca="false">'Model inputs'!K72+'Model inputs'!K135-'Model inputs'!K99</f>
        <v>-857.193</v>
      </c>
      <c r="L73" s="12" t="n">
        <f aca="false">'Model inputs'!L72+'Model inputs'!L135-'Model inputs'!L99</f>
        <v>-773.74916</v>
      </c>
      <c r="M73" s="12" t="n">
        <f aca="false">'Model inputs'!M72+'Model inputs'!M135-'Model inputs'!M99</f>
        <v>-688.4063327</v>
      </c>
      <c r="N73" s="12" t="n">
        <f aca="false">'Model inputs'!N72+'Model inputs'!N135-'Model inputs'!N99</f>
        <v>-601.001372594</v>
      </c>
      <c r="O73" s="12" t="n">
        <f aca="false">'Model inputs'!O72+'Model inputs'!O135-'Model inputs'!O99</f>
        <v>-511.36502278493</v>
      </c>
      <c r="P73" s="12" t="n">
        <f aca="false">'Model inputs'!P72+'Model inputs'!P135-'Model inputs'!P99</f>
        <v>-419.32154803857</v>
      </c>
      <c r="Q73" s="12" t="n">
        <f aca="false">'Model inputs'!Q72+'Model inputs'!Q135-'Model inputs'!Q99</f>
        <v>-324.688351331459</v>
      </c>
      <c r="R73" s="12" t="n">
        <f aca="false">'Model inputs'!R72+'Model inputs'!R135-'Model inputs'!R99</f>
        <v>-227.275573012265</v>
      </c>
      <c r="S73" s="12" t="n">
        <f aca="false">'Model inputs'!S72+'Model inputs'!S135-'Model inputs'!S99</f>
        <v>-126.885671653683</v>
      </c>
      <c r="T73" s="12" t="n">
        <f aca="false">'Model inputs'!T72+'Model inputs'!T135-'Model inputs'!T99</f>
        <v>-23.3129856274486</v>
      </c>
      <c r="U73" s="12" t="n">
        <f aca="false">'Model inputs'!U72+'Model inputs'!U135-'Model inputs'!U99</f>
        <v>83.6567256118299</v>
      </c>
      <c r="V73" s="12" t="n">
        <f aca="false">'Model inputs'!V72+'Model inputs'!V135-'Model inputs'!V99</f>
        <v>194.246761597453</v>
      </c>
      <c r="W73" s="12" t="n">
        <f aca="false">'Model inputs'!W72+'Model inputs'!W135-'Model inputs'!W99</f>
        <v>308.689983391206</v>
      </c>
      <c r="X73" s="12" t="n">
        <f aca="false">'Model inputs'!X72+'Model inputs'!X135-'Model inputs'!X99</f>
        <v>427.229339763231</v>
      </c>
      <c r="Y73" s="12" t="n">
        <f aca="false">'Model inputs'!Y72+'Model inputs'!Y135-'Model inputs'!Y99</f>
        <v>150.118418237783</v>
      </c>
    </row>
    <row r="74" customFormat="false" ht="18" hidden="false" customHeight="false" outlineLevel="0" collapsed="false">
      <c r="A74" s="27" t="s">
        <v>275</v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f aca="false">'Model inputs'!K132+'Model inputs'!K127-'Model inputs'!K126-'Model inputs'!K129</f>
        <v>-4107.193</v>
      </c>
      <c r="L74" s="12" t="n">
        <f aca="false">'Model inputs'!L132+'Model inputs'!L127-'Model inputs'!L126-'Model inputs'!L129</f>
        <v>-523.74916</v>
      </c>
      <c r="M74" s="12" t="n">
        <f aca="false">'Model inputs'!M132+'Model inputs'!M127-'Model inputs'!M126-'Model inputs'!M129</f>
        <v>-438.4063327</v>
      </c>
      <c r="N74" s="12" t="n">
        <f aca="false">'Model inputs'!N132+'Model inputs'!N127-'Model inputs'!N126-'Model inputs'!N129</f>
        <v>-351.001372594</v>
      </c>
      <c r="O74" s="12" t="n">
        <f aca="false">'Model inputs'!O132+'Model inputs'!O127-'Model inputs'!O126-'Model inputs'!O129</f>
        <v>-261.36502278493</v>
      </c>
      <c r="P74" s="12" t="n">
        <f aca="false">'Model inputs'!P132+'Model inputs'!P127-'Model inputs'!P126-'Model inputs'!P129</f>
        <v>-169.32154803857</v>
      </c>
      <c r="Q74" s="12" t="n">
        <f aca="false">'Model inputs'!Q132+'Model inputs'!Q127-'Model inputs'!Q126-'Model inputs'!Q129</f>
        <v>-74.6883513314593</v>
      </c>
      <c r="R74" s="12" t="n">
        <f aca="false">'Model inputs'!R132+'Model inputs'!R127-'Model inputs'!R126-'Model inputs'!R129</f>
        <v>22.7244269877352</v>
      </c>
      <c r="S74" s="12" t="n">
        <f aca="false">'Model inputs'!S132+'Model inputs'!S127-'Model inputs'!S126-'Model inputs'!S129</f>
        <v>123.114328346317</v>
      </c>
      <c r="T74" s="12" t="n">
        <f aca="false">'Model inputs'!T132+'Model inputs'!T127-'Model inputs'!T126-'Model inputs'!T129</f>
        <v>226.687014372551</v>
      </c>
      <c r="U74" s="12" t="n">
        <f aca="false">'Model inputs'!U132+'Model inputs'!U127-'Model inputs'!U126-'Model inputs'!U129</f>
        <v>333.65672561183</v>
      </c>
      <c r="V74" s="12" t="n">
        <f aca="false">'Model inputs'!V132+'Model inputs'!V127-'Model inputs'!V126-'Model inputs'!V129</f>
        <v>444.246761597453</v>
      </c>
      <c r="W74" s="12" t="n">
        <f aca="false">'Model inputs'!W132+'Model inputs'!W127-'Model inputs'!W126-'Model inputs'!W129</f>
        <v>-2441.31001660879</v>
      </c>
      <c r="X74" s="12" t="n">
        <f aca="false">'Model inputs'!X132+'Model inputs'!X127-'Model inputs'!X126-'Model inputs'!X129</f>
        <v>677.229339763231</v>
      </c>
      <c r="Y74" s="12" t="n">
        <f aca="false">'Model inputs'!Y132+'Model inputs'!Y127-'Model inputs'!Y126-'Model inputs'!Y129</f>
        <v>400.118418237783</v>
      </c>
    </row>
    <row r="75" customFormat="false" ht="18" hidden="false" customHeight="false" outlineLevel="0" collapsed="false">
      <c r="A75" s="27" t="s">
        <v>276</v>
      </c>
      <c r="B75" s="12" t="n">
        <v>0</v>
      </c>
      <c r="C75" s="12" t="n">
        <v>0</v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f aca="false">'Model inputs'!K192+'Model inputs'!K159-'Model inputs'!K157-'Model inputs'!K168</f>
        <v>-4146.916</v>
      </c>
      <c r="L75" s="12" t="n">
        <f aca="false">'Model inputs'!L192+'Model inputs'!L159-'Model inputs'!L157-'Model inputs'!L168</f>
        <v>-622.17895</v>
      </c>
      <c r="M75" s="12" t="n">
        <f aca="false">'Model inputs'!M192+'Model inputs'!M159-'Model inputs'!M157-'Model inputs'!M168</f>
        <v>-598.6787525</v>
      </c>
      <c r="N75" s="12" t="n">
        <f aca="false">'Model inputs'!N192+'Model inputs'!N159-'Model inputs'!N157-'Model inputs'!N168</f>
        <v>-576.353564875</v>
      </c>
      <c r="O75" s="12" t="n">
        <f aca="false">'Model inputs'!O192+'Model inputs'!O159-'Model inputs'!O157-'Model inputs'!O168</f>
        <v>-555.14463663125</v>
      </c>
      <c r="P75" s="12" t="n">
        <f aca="false">'Model inputs'!P192+'Model inputs'!P159-'Model inputs'!P157-'Model inputs'!P168</f>
        <v>-534.996154799688</v>
      </c>
      <c r="Q75" s="12" t="n">
        <f aca="false">'Model inputs'!Q192+'Model inputs'!Q159-'Model inputs'!Q157-'Model inputs'!Q168</f>
        <v>-515.855097059703</v>
      </c>
      <c r="R75" s="12" t="n">
        <f aca="false">'Model inputs'!R192+'Model inputs'!R159-'Model inputs'!R157-'Model inputs'!R168</f>
        <v>-497.671092206718</v>
      </c>
      <c r="S75" s="12" t="n">
        <f aca="false">'Model inputs'!S192+'Model inputs'!S159-'Model inputs'!S157-'Model inputs'!S168</f>
        <v>-480.396287596382</v>
      </c>
      <c r="T75" s="12" t="n">
        <f aca="false">'Model inputs'!T192+'Model inputs'!T159-'Model inputs'!T157-'Model inputs'!T168</f>
        <v>-463.985223216563</v>
      </c>
      <c r="U75" s="12" t="n">
        <f aca="false">'Model inputs'!U192+'Model inputs'!U159-'Model inputs'!U157-'Model inputs'!U168</f>
        <v>-448.394712055735</v>
      </c>
      <c r="V75" s="12" t="n">
        <f aca="false">'Model inputs'!V192+'Model inputs'!V159-'Model inputs'!V157-'Model inputs'!V168</f>
        <v>-433.583726452948</v>
      </c>
      <c r="W75" s="12" t="n">
        <f aca="false">'Model inputs'!W192+'Model inputs'!W159-'Model inputs'!W157-'Model inputs'!W168</f>
        <v>-3419.5132901303</v>
      </c>
      <c r="X75" s="12" t="n">
        <f aca="false">'Model inputs'!X192+'Model inputs'!X159-'Model inputs'!X157-'Model inputs'!X168</f>
        <v>-406.146375623786</v>
      </c>
      <c r="Y75" s="12" t="n">
        <f aca="false">'Model inputs'!Y192+'Model inputs'!Y159-'Model inputs'!Y157-'Model inputs'!Y168</f>
        <v>-393.447806842596</v>
      </c>
    </row>
    <row r="76" customFormat="false" ht="18" hidden="false" customHeight="false" outlineLevel="0" collapsed="false">
      <c r="A76" s="27" t="s">
        <v>277</v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f aca="false">'Model inputs'!K193+'Model inputs'!K160-'Model inputs'!K158-'Model inputs'!K169</f>
        <v>-4101.708</v>
      </c>
      <c r="L76" s="12" t="n">
        <f aca="false">'Model inputs'!L193+'Model inputs'!L160-'Model inputs'!L158-'Model inputs'!L169</f>
        <v>-361.67304</v>
      </c>
      <c r="M76" s="12" t="n">
        <f aca="false">'Model inputs'!M193+'Model inputs'!M160-'Model inputs'!M158-'Model inputs'!M169</f>
        <v>-101.7174992</v>
      </c>
      <c r="N76" s="12" t="n">
        <f aca="false">'Model inputs'!N193+'Model inputs'!N160-'Model inputs'!N158-'Model inputs'!N169</f>
        <v>180.232338784</v>
      </c>
      <c r="O76" s="12" t="n">
        <f aca="false">'Model inputs'!O193+'Model inputs'!O160-'Model inputs'!O158-'Model inputs'!O169</f>
        <v>486.455928808321</v>
      </c>
      <c r="P76" s="12" t="n">
        <f aca="false">'Model inputs'!P193+'Model inputs'!P160-'Model inputs'!P158-'Model inputs'!P169</f>
        <v>419.459070712154</v>
      </c>
      <c r="Q76" s="12" t="n">
        <f aca="false">'Model inputs'!Q193+'Model inputs'!Q160-'Model inputs'!Q158-'Model inputs'!Q169</f>
        <v>781.996575825911</v>
      </c>
      <c r="R76" s="12" t="n">
        <f aca="false">'Model inputs'!R193+'Model inputs'!R160-'Model inputs'!R158-'Model inputs'!R169</f>
        <v>1177.09719949019</v>
      </c>
      <c r="S76" s="12" t="n">
        <f aca="false">'Model inputs'!S193+'Model inputs'!S160-'Model inputs'!S158-'Model inputs'!S169</f>
        <v>1608.09106619927</v>
      </c>
      <c r="T76" s="12" t="n">
        <f aca="false">'Model inputs'!T193+'Model inputs'!T160-'Model inputs'!T158-'Model inputs'!T169</f>
        <v>2078.63983664405</v>
      </c>
      <c r="U76" s="12" t="n">
        <f aca="false">'Model inputs'!U193+'Model inputs'!U160-'Model inputs'!U158-'Model inputs'!U169</f>
        <v>2592.76989085682</v>
      </c>
      <c r="V76" s="12" t="n">
        <f aca="false">'Model inputs'!V193+'Model inputs'!V160-'Model inputs'!V158-'Model inputs'!V169</f>
        <v>3154.90882907989</v>
      </c>
      <c r="W76" s="12" t="n">
        <f aca="false">'Model inputs'!W193+'Model inputs'!W160-'Model inputs'!W158-'Model inputs'!W169</f>
        <v>769.925622142524</v>
      </c>
      <c r="X76" s="12" t="n">
        <f aca="false">'Model inputs'!X193+'Model inputs'!X160-'Model inputs'!X158-'Model inputs'!X169</f>
        <v>4443.17477630833</v>
      </c>
      <c r="Y76" s="12" t="n">
        <f aca="false">'Model inputs'!Y193+'Model inputs'!Y160-'Model inputs'!Y158-'Model inputs'!Y169</f>
        <v>5180.54491405168</v>
      </c>
    </row>
    <row r="77" customFormat="false" ht="18" hidden="false" customHeight="false" outlineLevel="0" collapsed="false">
      <c r="A77" s="27" t="s">
        <v>278</v>
      </c>
      <c r="Z77" s="22" t="n">
        <f aca="false">'Gainsay drivers · Gainsay fixed'!B8</f>
        <v>2</v>
      </c>
    </row>
    <row r="78" customFormat="false" ht="18" hidden="false" customHeight="false" outlineLevel="0" collapsed="false">
      <c r="A78" s="27" t="s">
        <v>279</v>
      </c>
      <c r="AA78" s="22" t="n">
        <f aca="false">'Gainsay drivers · Gainsay fixed'!B8</f>
        <v>2</v>
      </c>
    </row>
    <row r="79" customFormat="false" ht="18" hidden="false" customHeight="false" outlineLevel="0" collapsed="false">
      <c r="A79" s="27" t="s">
        <v>280</v>
      </c>
      <c r="Z79" s="12" t="n">
        <f aca="false">'Gainsay drivers · Gainsay fixed'!B21</f>
        <v>5000</v>
      </c>
    </row>
    <row r="80" customFormat="false" ht="18" hidden="false" customHeight="false" outlineLevel="0" collapsed="false">
      <c r="A80" s="27" t="s">
        <v>281</v>
      </c>
      <c r="AA80" s="12" t="n">
        <f aca="false">'Gainsay drivers · Gainsay fixed'!B21</f>
        <v>5000</v>
      </c>
    </row>
    <row r="81" customFormat="false" ht="18" hidden="false" customHeight="false" outlineLevel="0" collapsed="false">
      <c r="A81" s="27" t="s">
        <v>282</v>
      </c>
      <c r="B81" s="12" t="n">
        <v>0</v>
      </c>
      <c r="C81" s="12" t="n">
        <v>0</v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f aca="false">'Model inputs'!Z111+'Model inputs'!Z67+'Model inputs'!Z69+'Model inputs'!K125+'Model inputs'!K135+IF(IF(DATE(2026,10,1)=DATE(2026,10,1),IF('Model inputs'!Z65="","",'Model inputs'!Z65),0)="",0,IF(DATE(2026,10,1)=DATE(2026,10,1),IF('Model inputs'!Z65="","",'Model inputs'!Z65),0))</f>
        <v>730</v>
      </c>
      <c r="L81" s="12" t="n">
        <f aca="false">'Model inputs'!Z111+'Model inputs'!Z67+'Model inputs'!Z69+'Model inputs'!L125+'Model inputs'!L135+IF(IF(DATE(2026,11,1)=DATE(2026,10,1),IF('Model inputs'!Z65="","",'Model inputs'!Z65),0)="",0,IF(DATE(2026,11,1)=DATE(2026,10,1),IF('Model inputs'!Z65="","",'Model inputs'!Z65),0))</f>
        <v>230</v>
      </c>
      <c r="M81" s="12" t="n">
        <f aca="false">'Model inputs'!Z111+'Model inputs'!Z67+'Model inputs'!Z69+'Model inputs'!M125+'Model inputs'!M135+IF(IF(DATE(2026,12,1)=DATE(2026,10,1),IF('Model inputs'!Z65="","",'Model inputs'!Z65),0)="",0,IF(DATE(2026,12,1)=DATE(2026,10,1),IF('Model inputs'!Z65="","",'Model inputs'!Z65),0))</f>
        <v>230</v>
      </c>
      <c r="N81" s="12" t="n">
        <f aca="false">'Model inputs'!Z111+'Model inputs'!Z67+'Model inputs'!Z69+'Model inputs'!N125+'Model inputs'!N135+IF(IF(DATE(2027,1,1)=DATE(2026,10,1),IF('Model inputs'!Z65="","",'Model inputs'!Z65),0)="",0,IF(DATE(2027,1,1)=DATE(2026,10,1),IF('Model inputs'!Z65="","",'Model inputs'!Z65),0))</f>
        <v>230</v>
      </c>
      <c r="O81" s="12" t="n">
        <f aca="false">'Model inputs'!Z111+'Model inputs'!Z67+'Model inputs'!Z69+'Model inputs'!O125+'Model inputs'!O135+IF(IF(DATE(2027,2,1)=DATE(2026,10,1),IF('Model inputs'!Z65="","",'Model inputs'!Z65),0)="",0,IF(DATE(2027,2,1)=DATE(2026,10,1),IF('Model inputs'!Z65="","",'Model inputs'!Z65),0))</f>
        <v>230</v>
      </c>
      <c r="P81" s="12" t="n">
        <f aca="false">'Model inputs'!Z111+'Model inputs'!Z67+'Model inputs'!Z69+'Model inputs'!P125+'Model inputs'!P135+IF(IF(DATE(2027,3,1)=DATE(2026,10,1),IF('Model inputs'!Z65="","",'Model inputs'!Z65),0)="",0,IF(DATE(2027,3,1)=DATE(2026,10,1),IF('Model inputs'!Z65="","",'Model inputs'!Z65),0))</f>
        <v>230</v>
      </c>
      <c r="Q81" s="12" t="n">
        <f aca="false">'Model inputs'!Z111+'Model inputs'!Z67+'Model inputs'!Z69+'Model inputs'!Q125+'Model inputs'!Q135+IF(IF(DATE(2027,4,1)=DATE(2026,10,1),IF('Model inputs'!Z65="","",'Model inputs'!Z65),0)="",0,IF(DATE(2027,4,1)=DATE(2026,10,1),IF('Model inputs'!Z65="","",'Model inputs'!Z65),0))</f>
        <v>230</v>
      </c>
      <c r="R81" s="12" t="n">
        <f aca="false">'Model inputs'!Z111+'Model inputs'!Z67+'Model inputs'!Z69+'Model inputs'!R125+'Model inputs'!R135+IF(IF(DATE(2027,5,1)=DATE(2026,10,1),IF('Model inputs'!Z65="","",'Model inputs'!Z65),0)="",0,IF(DATE(2027,5,1)=DATE(2026,10,1),IF('Model inputs'!Z65="","",'Model inputs'!Z65),0))</f>
        <v>230</v>
      </c>
      <c r="S81" s="12" t="n">
        <f aca="false">'Model inputs'!Z111+'Model inputs'!Z67+'Model inputs'!Z69+'Model inputs'!S125+'Model inputs'!S135+IF(IF(DATE(2027,6,1)=DATE(2026,10,1),IF('Model inputs'!Z65="","",'Model inputs'!Z65),0)="",0,IF(DATE(2027,6,1)=DATE(2026,10,1),IF('Model inputs'!Z65="","",'Model inputs'!Z65),0))</f>
        <v>230</v>
      </c>
      <c r="T81" s="12" t="n">
        <f aca="false">'Model inputs'!Z111+'Model inputs'!Z67+'Model inputs'!Z69+'Model inputs'!T125+'Model inputs'!T135+IF(IF(DATE(2027,7,1)=DATE(2026,10,1),IF('Model inputs'!Z65="","",'Model inputs'!Z65),0)="",0,IF(DATE(2027,7,1)=DATE(2026,10,1),IF('Model inputs'!Z65="","",'Model inputs'!Z65),0))</f>
        <v>230</v>
      </c>
      <c r="U81" s="12" t="n">
        <f aca="false">'Model inputs'!Z111+'Model inputs'!Z67+'Model inputs'!Z69+'Model inputs'!U125+'Model inputs'!U135+IF(IF(DATE(2027,8,1)=DATE(2026,10,1),IF('Model inputs'!Z65="","",'Model inputs'!Z65),0)="",0,IF(DATE(2027,8,1)=DATE(2026,10,1),IF('Model inputs'!Z65="","",'Model inputs'!Z65),0))</f>
        <v>230</v>
      </c>
      <c r="V81" s="12" t="n">
        <f aca="false">'Model inputs'!Z111+'Model inputs'!Z67+'Model inputs'!Z69+'Model inputs'!V125+'Model inputs'!V135+IF(IF(DATE(2027,9,1)=DATE(2026,10,1),IF('Model inputs'!Z65="","",'Model inputs'!Z65),0)="",0,IF(DATE(2027,9,1)=DATE(2026,10,1),IF('Model inputs'!Z65="","",'Model inputs'!Z65),0))</f>
        <v>230</v>
      </c>
      <c r="W81" s="12" t="n">
        <f aca="false">'Model inputs'!Z111+'Model inputs'!Z67+'Model inputs'!Z69+'Model inputs'!W125+'Model inputs'!W135+IF(IF(DATE(2027,10,1)=DATE(2026,10,1),IF('Model inputs'!Z65="","",'Model inputs'!Z65),0)="",0,IF(DATE(2027,10,1)=DATE(2026,10,1),IF('Model inputs'!Z65="","",'Model inputs'!Z65),0))</f>
        <v>230</v>
      </c>
      <c r="X81" s="12" t="n">
        <f aca="false">'Model inputs'!Z111+'Model inputs'!Z67+'Model inputs'!Z69+'Model inputs'!X125+'Model inputs'!X135+IF(IF(DATE(2027,11,1)=DATE(2026,10,1),IF('Model inputs'!Z65="","",'Model inputs'!Z65),0)="",0,IF(DATE(2027,11,1)=DATE(2026,10,1),IF('Model inputs'!Z65="","",'Model inputs'!Z65),0))</f>
        <v>230</v>
      </c>
      <c r="Y81" s="12" t="n">
        <f aca="false">'Model inputs'!Z111+'Model inputs'!Z67+'Model inputs'!Z69+'Model inputs'!Y125+'Model inputs'!Y135+IF(IF(DATE(2027,12,1)=DATE(2026,10,1),IF('Model inputs'!Z65="","",'Model inputs'!Z65),0)="",0,IF(DATE(2027,12,1)=DATE(2026,10,1),IF('Model inputs'!Z65="","",'Model inputs'!Z65),0))</f>
        <v>630</v>
      </c>
    </row>
    <row r="82" customFormat="false" ht="18" hidden="false" customHeight="false" outlineLevel="0" collapsed="false">
      <c r="A82" s="27" t="s">
        <v>283</v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f aca="false">'Model inputs'!AA203+'Model inputs'!AA179+'Model inputs'!AA181+'Model inputs'!K155+'Model inputs'!K201+IF(IF(DATE(2026,10,1)=DATE(2026,10,1),IF('Model inputs'!AA177="","",'Model inputs'!AA177),0)="",0,IF(DATE(2026,10,1)=DATE(2026,10,1),IF('Model inputs'!AA177="","",'Model inputs'!AA177),0))</f>
        <v>680</v>
      </c>
      <c r="L82" s="12" t="n">
        <f aca="false">'Model inputs'!AA203+'Model inputs'!AA179+'Model inputs'!AA181+'Model inputs'!L155+'Model inputs'!L201+IF(IF(DATE(2026,11,1)=DATE(2026,10,1),IF('Model inputs'!AA177="","",'Model inputs'!AA177),0)="",0,IF(DATE(2026,11,1)=DATE(2026,10,1),IF('Model inputs'!AA177="","",'Model inputs'!AA177),0))</f>
        <v>180</v>
      </c>
      <c r="M82" s="12" t="n">
        <f aca="false">'Model inputs'!AA203+'Model inputs'!AA179+'Model inputs'!AA181+'Model inputs'!M155+'Model inputs'!M201+IF(IF(DATE(2026,12,1)=DATE(2026,10,1),IF('Model inputs'!AA177="","",'Model inputs'!AA177),0)="",0,IF(DATE(2026,12,1)=DATE(2026,10,1),IF('Model inputs'!AA177="","",'Model inputs'!AA177),0))</f>
        <v>180</v>
      </c>
      <c r="N82" s="12" t="n">
        <f aca="false">'Model inputs'!AA203+'Model inputs'!AA179+'Model inputs'!AA181+'Model inputs'!N155+'Model inputs'!N201+IF(IF(DATE(2027,1,1)=DATE(2026,10,1),IF('Model inputs'!AA177="","",'Model inputs'!AA177),0)="",0,IF(DATE(2027,1,1)=DATE(2026,10,1),IF('Model inputs'!AA177="","",'Model inputs'!AA177),0))</f>
        <v>180</v>
      </c>
      <c r="O82" s="12" t="n">
        <f aca="false">'Model inputs'!AA203+'Model inputs'!AA179+'Model inputs'!AA181+'Model inputs'!O155+'Model inputs'!O201+IF(IF(DATE(2027,2,1)=DATE(2026,10,1),IF('Model inputs'!AA177="","",'Model inputs'!AA177),0)="",0,IF(DATE(2027,2,1)=DATE(2026,10,1),IF('Model inputs'!AA177="","",'Model inputs'!AA177),0))</f>
        <v>180</v>
      </c>
      <c r="P82" s="12" t="n">
        <f aca="false">'Model inputs'!AA203+'Model inputs'!AA179+'Model inputs'!AA181+'Model inputs'!P155+'Model inputs'!P201+IF(IF(DATE(2027,3,1)=DATE(2026,10,1),IF('Model inputs'!AA177="","",'Model inputs'!AA177),0)="",0,IF(DATE(2027,3,1)=DATE(2026,10,1),IF('Model inputs'!AA177="","",'Model inputs'!AA177),0))</f>
        <v>180</v>
      </c>
      <c r="Q82" s="12" t="n">
        <f aca="false">'Model inputs'!AA203+'Model inputs'!AA179+'Model inputs'!AA181+'Model inputs'!Q155+'Model inputs'!Q201+IF(IF(DATE(2027,4,1)=DATE(2026,10,1),IF('Model inputs'!AA177="","",'Model inputs'!AA177),0)="",0,IF(DATE(2027,4,1)=DATE(2026,10,1),IF('Model inputs'!AA177="","",'Model inputs'!AA177),0))</f>
        <v>180</v>
      </c>
      <c r="R82" s="12" t="n">
        <f aca="false">'Model inputs'!AA203+'Model inputs'!AA179+'Model inputs'!AA181+'Model inputs'!R155+'Model inputs'!R201+IF(IF(DATE(2027,5,1)=DATE(2026,10,1),IF('Model inputs'!AA177="","",'Model inputs'!AA177),0)="",0,IF(DATE(2027,5,1)=DATE(2026,10,1),IF('Model inputs'!AA177="","",'Model inputs'!AA177),0))</f>
        <v>180</v>
      </c>
      <c r="S82" s="12" t="n">
        <f aca="false">'Model inputs'!AA203+'Model inputs'!AA179+'Model inputs'!AA181+'Model inputs'!S155+'Model inputs'!S201+IF(IF(DATE(2027,6,1)=DATE(2026,10,1),IF('Model inputs'!AA177="","",'Model inputs'!AA177),0)="",0,IF(DATE(2027,6,1)=DATE(2026,10,1),IF('Model inputs'!AA177="","",'Model inputs'!AA177),0))</f>
        <v>180</v>
      </c>
      <c r="T82" s="12" t="n">
        <f aca="false">'Model inputs'!AA203+'Model inputs'!AA179+'Model inputs'!AA181+'Model inputs'!T155+'Model inputs'!T201+IF(IF(DATE(2027,7,1)=DATE(2026,10,1),IF('Model inputs'!AA177="","",'Model inputs'!AA177),0)="",0,IF(DATE(2027,7,1)=DATE(2026,10,1),IF('Model inputs'!AA177="","",'Model inputs'!AA177),0))</f>
        <v>180</v>
      </c>
      <c r="U82" s="12" t="n">
        <f aca="false">'Model inputs'!AA203+'Model inputs'!AA179+'Model inputs'!AA181+'Model inputs'!U155+'Model inputs'!U201+IF(IF(DATE(2027,8,1)=DATE(2026,10,1),IF('Model inputs'!AA177="","",'Model inputs'!AA177),0)="",0,IF(DATE(2027,8,1)=DATE(2026,10,1),IF('Model inputs'!AA177="","",'Model inputs'!AA177),0))</f>
        <v>180</v>
      </c>
      <c r="V82" s="12" t="n">
        <f aca="false">'Model inputs'!AA203+'Model inputs'!AA179+'Model inputs'!AA181+'Model inputs'!V155+'Model inputs'!V201+IF(IF(DATE(2027,9,1)=DATE(2026,10,1),IF('Model inputs'!AA177="","",'Model inputs'!AA177),0)="",0,IF(DATE(2027,9,1)=DATE(2026,10,1),IF('Model inputs'!AA177="","",'Model inputs'!AA177),0))</f>
        <v>180</v>
      </c>
      <c r="W82" s="12" t="n">
        <f aca="false">'Model inputs'!AA203+'Model inputs'!AA179+'Model inputs'!AA181+'Model inputs'!W155+'Model inputs'!W201+IF(IF(DATE(2027,10,1)=DATE(2026,10,1),IF('Model inputs'!AA177="","",'Model inputs'!AA177),0)="",0,IF(DATE(2027,10,1)=DATE(2026,10,1),IF('Model inputs'!AA177="","",'Model inputs'!AA177),0))</f>
        <v>180</v>
      </c>
      <c r="X82" s="12" t="n">
        <f aca="false">'Model inputs'!AA203+'Model inputs'!AA179+'Model inputs'!AA181+'Model inputs'!X155+'Model inputs'!X201+IF(IF(DATE(2027,11,1)=DATE(2026,10,1),IF('Model inputs'!AA177="","",'Model inputs'!AA177),0)="",0,IF(DATE(2027,11,1)=DATE(2026,10,1),IF('Model inputs'!AA177="","",'Model inputs'!AA177),0))</f>
        <v>180</v>
      </c>
      <c r="Y82" s="12" t="n">
        <f aca="false">'Model inputs'!AA203+'Model inputs'!AA179+'Model inputs'!AA181+'Model inputs'!Y155+'Model inputs'!Y201+IF(IF(DATE(2027,12,1)=DATE(2026,10,1),IF('Model inputs'!AA177="","",'Model inputs'!AA177),0)="",0,IF(DATE(2027,12,1)=DATE(2026,10,1),IF('Model inputs'!AA177="","",'Model inputs'!AA177),0))</f>
        <v>180</v>
      </c>
    </row>
    <row r="83" customFormat="false" ht="18" hidden="false" customHeight="false" outlineLevel="0" collapsed="false">
      <c r="A83" s="27" t="s">
        <v>284</v>
      </c>
      <c r="B83" s="12" t="n">
        <v>0</v>
      </c>
      <c r="C83" s="12" t="n">
        <v>0</v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f aca="false">'Model inputs'!AA204+'Model inputs'!AA180+'Model inputs'!AA182+'Model inputs'!K156+'Model inputs'!K202+IF(IF(DATE(2026,10,1)=DATE(2026,10,1),IF('Model inputs'!AA178="","",'Model inputs'!AA178),0)="",0,IF(DATE(2026,10,1)=DATE(2026,10,1),IF('Model inputs'!AA178="","",'Model inputs'!AA178),0))</f>
        <v>930</v>
      </c>
      <c r="L83" s="12" t="n">
        <f aca="false">'Model inputs'!AA204+'Model inputs'!AA180+'Model inputs'!AA182+'Model inputs'!L156+'Model inputs'!L202+IF(IF(DATE(2026,11,1)=DATE(2026,10,1),IF('Model inputs'!AA178="","",'Model inputs'!AA178),0)="",0,IF(DATE(2026,11,1)=DATE(2026,10,1),IF('Model inputs'!AA178="","",'Model inputs'!AA178),0))</f>
        <v>430</v>
      </c>
      <c r="M83" s="12" t="n">
        <f aca="false">'Model inputs'!AA204+'Model inputs'!AA180+'Model inputs'!AA182+'Model inputs'!M156+'Model inputs'!M202+IF(IF(DATE(2026,12,1)=DATE(2026,10,1),IF('Model inputs'!AA178="","",'Model inputs'!AA178),0)="",0,IF(DATE(2026,12,1)=DATE(2026,10,1),IF('Model inputs'!AA178="","",'Model inputs'!AA178),0))</f>
        <v>430</v>
      </c>
      <c r="N83" s="12" t="n">
        <f aca="false">'Model inputs'!AA204+'Model inputs'!AA180+'Model inputs'!AA182+'Model inputs'!N156+'Model inputs'!N202+IF(IF(DATE(2027,1,1)=DATE(2026,10,1),IF('Model inputs'!AA178="","",'Model inputs'!AA178),0)="",0,IF(DATE(2027,1,1)=DATE(2026,10,1),IF('Model inputs'!AA178="","",'Model inputs'!AA178),0))</f>
        <v>430</v>
      </c>
      <c r="O83" s="12" t="n">
        <f aca="false">'Model inputs'!AA204+'Model inputs'!AA180+'Model inputs'!AA182+'Model inputs'!O156+'Model inputs'!O202+IF(IF(DATE(2027,2,1)=DATE(2026,10,1),IF('Model inputs'!AA178="","",'Model inputs'!AA178),0)="",0,IF(DATE(2027,2,1)=DATE(2026,10,1),IF('Model inputs'!AA178="","",'Model inputs'!AA178),0))</f>
        <v>430</v>
      </c>
      <c r="P83" s="12" t="n">
        <f aca="false">'Model inputs'!AA204+'Model inputs'!AA180+'Model inputs'!AA182+'Model inputs'!P156+'Model inputs'!P202+IF(IF(DATE(2027,3,1)=DATE(2026,10,1),IF('Model inputs'!AA178="","",'Model inputs'!AA178),0)="",0,IF(DATE(2027,3,1)=DATE(2026,10,1),IF('Model inputs'!AA178="","",'Model inputs'!AA178),0))</f>
        <v>830</v>
      </c>
      <c r="Q83" s="12" t="n">
        <f aca="false">'Model inputs'!AA204+'Model inputs'!AA180+'Model inputs'!AA182+'Model inputs'!Q156+'Model inputs'!Q202+IF(IF(DATE(2027,4,1)=DATE(2026,10,1),IF('Model inputs'!AA178="","",'Model inputs'!AA178),0)="",0,IF(DATE(2027,4,1)=DATE(2026,10,1),IF('Model inputs'!AA178="","",'Model inputs'!AA178),0))</f>
        <v>830</v>
      </c>
      <c r="R83" s="12" t="n">
        <f aca="false">'Model inputs'!AA204+'Model inputs'!AA180+'Model inputs'!AA182+'Model inputs'!R156+'Model inputs'!R202+IF(IF(DATE(2027,5,1)=DATE(2026,10,1),IF('Model inputs'!AA178="","",'Model inputs'!AA178),0)="",0,IF(DATE(2027,5,1)=DATE(2026,10,1),IF('Model inputs'!AA178="","",'Model inputs'!AA178),0))</f>
        <v>830</v>
      </c>
      <c r="S83" s="12" t="n">
        <f aca="false">'Model inputs'!AA204+'Model inputs'!AA180+'Model inputs'!AA182+'Model inputs'!S156+'Model inputs'!S202+IF(IF(DATE(2027,6,1)=DATE(2026,10,1),IF('Model inputs'!AA178="","",'Model inputs'!AA178),0)="",0,IF(DATE(2027,6,1)=DATE(2026,10,1),IF('Model inputs'!AA178="","",'Model inputs'!AA178),0))</f>
        <v>830</v>
      </c>
      <c r="T83" s="12" t="n">
        <f aca="false">'Model inputs'!AA204+'Model inputs'!AA180+'Model inputs'!AA182+'Model inputs'!T156+'Model inputs'!T202+IF(IF(DATE(2027,7,1)=DATE(2026,10,1),IF('Model inputs'!AA178="","",'Model inputs'!AA178),0)="",0,IF(DATE(2027,7,1)=DATE(2026,10,1),IF('Model inputs'!AA178="","",'Model inputs'!AA178),0))</f>
        <v>830</v>
      </c>
      <c r="U83" s="12" t="n">
        <f aca="false">'Model inputs'!AA204+'Model inputs'!AA180+'Model inputs'!AA182+'Model inputs'!U156+'Model inputs'!U202+IF(IF(DATE(2027,8,1)=DATE(2026,10,1),IF('Model inputs'!AA178="","",'Model inputs'!AA178),0)="",0,IF(DATE(2027,8,1)=DATE(2026,10,1),IF('Model inputs'!AA178="","",'Model inputs'!AA178),0))</f>
        <v>830</v>
      </c>
      <c r="V83" s="12" t="n">
        <f aca="false">'Model inputs'!AA204+'Model inputs'!AA180+'Model inputs'!AA182+'Model inputs'!V156+'Model inputs'!V202+IF(IF(DATE(2027,9,1)=DATE(2026,10,1),IF('Model inputs'!AA178="","",'Model inputs'!AA178),0)="",0,IF(DATE(2027,9,1)=DATE(2026,10,1),IF('Model inputs'!AA178="","",'Model inputs'!AA178),0))</f>
        <v>830</v>
      </c>
      <c r="W83" s="12" t="n">
        <f aca="false">'Model inputs'!AA204+'Model inputs'!AA180+'Model inputs'!AA182+'Model inputs'!W156+'Model inputs'!W202+IF(IF(DATE(2027,10,1)=DATE(2026,10,1),IF('Model inputs'!AA178="","",'Model inputs'!AA178),0)="",0,IF(DATE(2027,10,1)=DATE(2026,10,1),IF('Model inputs'!AA178="","",'Model inputs'!AA178),0))</f>
        <v>830</v>
      </c>
      <c r="X83" s="12" t="n">
        <f aca="false">'Model inputs'!AA204+'Model inputs'!AA180+'Model inputs'!AA182+'Model inputs'!X156+'Model inputs'!X202+IF(IF(DATE(2027,11,1)=DATE(2026,10,1),IF('Model inputs'!AA178="","",'Model inputs'!AA178),0)="",0,IF(DATE(2027,11,1)=DATE(2026,10,1),IF('Model inputs'!AA178="","",'Model inputs'!AA178),0))</f>
        <v>830</v>
      </c>
      <c r="Y83" s="12" t="n">
        <f aca="false">'Model inputs'!AA204+'Model inputs'!AA180+'Model inputs'!AA182+'Model inputs'!Y156+'Model inputs'!Y202+IF(IF(DATE(2027,12,1)=DATE(2026,10,1),IF('Model inputs'!AA178="","",'Model inputs'!AA178),0)="",0,IF(DATE(2027,12,1)=DATE(2026,10,1),IF('Model inputs'!AA178="","",'Model inputs'!AA178),0))</f>
        <v>830</v>
      </c>
    </row>
    <row r="84" customFormat="false" ht="18" hidden="false" customHeight="false" outlineLevel="0" collapsed="false">
      <c r="A84" s="27" t="s">
        <v>285</v>
      </c>
      <c r="B84" s="22" t="n">
        <v>0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f aca="false">('Model inputs'!K144+'Model inputs'!K17)*'Model inputs'!Z27</f>
        <v>560</v>
      </c>
      <c r="L84" s="22" t="n">
        <f aca="false">('Model inputs'!L144+'Model inputs'!L17)*'Model inputs'!Z27</f>
        <v>791.7</v>
      </c>
      <c r="M84" s="22" t="n">
        <f aca="false">('Model inputs'!M144+'Model inputs'!M17)*'Model inputs'!Z27</f>
        <v>1028.874</v>
      </c>
      <c r="N84" s="22" t="n">
        <f aca="false">('Model inputs'!N144+'Model inputs'!N17)*'Model inputs'!Z27</f>
        <v>1271.97903</v>
      </c>
      <c r="O84" s="22" t="n">
        <f aca="false">('Model inputs'!O144+'Model inputs'!O17)*'Model inputs'!Z27</f>
        <v>1521.4894716</v>
      </c>
      <c r="P84" s="22" t="n">
        <f aca="false">('Model inputs'!P144+'Model inputs'!P17)*'Model inputs'!Z27</f>
        <v>1777.898090577</v>
      </c>
      <c r="Q84" s="22" t="n">
        <f aca="false">('Model inputs'!Q144+'Model inputs'!Q17)*'Model inputs'!Z27</f>
        <v>2041.71711614094</v>
      </c>
      <c r="R84" s="22" t="n">
        <f aca="false">('Model inputs'!R144+'Model inputs'!R17)*'Model inputs'!Z27</f>
        <v>2313.47936935202</v>
      </c>
      <c r="S84" s="22" t="n">
        <f aca="false">('Model inputs'!S144+'Model inputs'!S17)*'Model inputs'!Z27</f>
        <v>2593.73944330154</v>
      </c>
      <c r="T84" s="22" t="n">
        <f aca="false">('Model inputs'!T144+'Model inputs'!T17)*'Model inputs'!Z27</f>
        <v>2883.07493778408</v>
      </c>
      <c r="U84" s="22" t="n">
        <f aca="false">('Model inputs'!U144+'Model inputs'!U17)*'Model inputs'!Z27</f>
        <v>3182.08775132122</v>
      </c>
      <c r="V84" s="22" t="n">
        <f aca="false">('Model inputs'!V144+'Model inputs'!V17)*'Model inputs'!Z27</f>
        <v>3491.40543353578</v>
      </c>
      <c r="W84" s="22" t="n">
        <f aca="false">('Model inputs'!W144+'Model inputs'!W17)*'Model inputs'!Z27</f>
        <v>3811.68260102161</v>
      </c>
      <c r="X84" s="22" t="n">
        <f aca="false">('Model inputs'!X144+'Model inputs'!X17)*'Model inputs'!Z27</f>
        <v>4143.60242000746</v>
      </c>
      <c r="Y84" s="22" t="n">
        <f aca="false">('Model inputs'!Y144+'Model inputs'!Y17)*'Model inputs'!Z27</f>
        <v>4487.87815927456</v>
      </c>
    </row>
    <row r="85" customFormat="false" ht="18" hidden="false" customHeight="false" outlineLevel="0" collapsed="false">
      <c r="A85" s="27" t="s">
        <v>286</v>
      </c>
      <c r="B85" s="22" t="n">
        <v>0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f aca="false">('Model inputs'!K162+'Model inputs'!K147)*'Model inputs'!AA153</f>
        <v>245</v>
      </c>
      <c r="L85" s="22" t="n">
        <f aca="false">('Model inputs'!L162+'Model inputs'!L147)*'Model inputs'!AA153</f>
        <v>311.5</v>
      </c>
      <c r="M85" s="22" t="n">
        <f aca="false">('Model inputs'!M162+'Model inputs'!M147)*'Model inputs'!AA153</f>
        <v>374.675</v>
      </c>
      <c r="N85" s="22" t="n">
        <f aca="false">('Model inputs'!N162+'Model inputs'!N147)*'Model inputs'!AA153</f>
        <v>434.69125</v>
      </c>
      <c r="O85" s="22" t="n">
        <f aca="false">('Model inputs'!O162+'Model inputs'!O147)*'Model inputs'!AA153</f>
        <v>491.7066875</v>
      </c>
      <c r="P85" s="22" t="n">
        <f aca="false">('Model inputs'!P162+'Model inputs'!P147)*'Model inputs'!AA153</f>
        <v>545.871353125</v>
      </c>
      <c r="Q85" s="22" t="n">
        <f aca="false">('Model inputs'!Q162+'Model inputs'!Q147)*'Model inputs'!AA153</f>
        <v>597.32778546875</v>
      </c>
      <c r="R85" s="22" t="n">
        <f aca="false">('Model inputs'!R162+'Model inputs'!R147)*'Model inputs'!AA153</f>
        <v>646.211396195312</v>
      </c>
      <c r="S85" s="22" t="n">
        <f aca="false">('Model inputs'!S162+'Model inputs'!S147)*'Model inputs'!AA153</f>
        <v>692.650826385547</v>
      </c>
      <c r="T85" s="22" t="n">
        <f aca="false">('Model inputs'!T162+'Model inputs'!T147)*'Model inputs'!AA153</f>
        <v>736.768285066269</v>
      </c>
      <c r="U85" s="22" t="n">
        <f aca="false">('Model inputs'!U162+'Model inputs'!U147)*'Model inputs'!AA153</f>
        <v>778.679870812956</v>
      </c>
      <c r="V85" s="22" t="n">
        <f aca="false">('Model inputs'!V162+'Model inputs'!V147)*'Model inputs'!AA153</f>
        <v>818.495877272308</v>
      </c>
      <c r="W85" s="22" t="n">
        <f aca="false">('Model inputs'!W162+'Model inputs'!W147)*'Model inputs'!AA153</f>
        <v>856.321083408693</v>
      </c>
      <c r="X85" s="22" t="n">
        <f aca="false">('Model inputs'!X162+'Model inputs'!X147)*'Model inputs'!AA153</f>
        <v>892.255029238258</v>
      </c>
      <c r="Y85" s="22" t="n">
        <f aca="false">('Model inputs'!Y162+'Model inputs'!Y147)*'Model inputs'!AA153</f>
        <v>926.392277776345</v>
      </c>
    </row>
    <row r="86" customFormat="false" ht="18" hidden="false" customHeight="false" outlineLevel="0" collapsed="false">
      <c r="A86" s="27" t="s">
        <v>287</v>
      </c>
      <c r="B86" s="22" t="n">
        <v>0</v>
      </c>
      <c r="C86" s="22" t="n">
        <v>0</v>
      </c>
      <c r="D86" s="22" t="n">
        <v>0</v>
      </c>
      <c r="E86" s="22" t="n">
        <v>0</v>
      </c>
      <c r="F86" s="22" t="n">
        <v>0</v>
      </c>
      <c r="G86" s="22" t="n">
        <v>0</v>
      </c>
      <c r="H86" s="22" t="n">
        <v>0</v>
      </c>
      <c r="I86" s="22" t="n">
        <v>0</v>
      </c>
      <c r="J86" s="22" t="n">
        <v>0</v>
      </c>
      <c r="K86" s="22" t="n">
        <f aca="false">('Model inputs'!K163+'Model inputs'!K148)*'Model inputs'!AA154</f>
        <v>1260</v>
      </c>
      <c r="L86" s="22" t="n">
        <f aca="false">('Model inputs'!L163+'Model inputs'!L148)*'Model inputs'!AA154</f>
        <v>1934.8</v>
      </c>
      <c r="M86" s="22" t="n">
        <f aca="false">('Model inputs'!M163+'Model inputs'!M148)*'Model inputs'!AA154</f>
        <v>2666.104</v>
      </c>
      <c r="N86" s="22" t="n">
        <f aca="false">('Model inputs'!N163+'Model inputs'!N148)*'Model inputs'!AA154</f>
        <v>3459.78192</v>
      </c>
      <c r="O86" s="22" t="n">
        <f aca="false">('Model inputs'!O163+'Model inputs'!O148)*'Model inputs'!AA154</f>
        <v>4322.2862816</v>
      </c>
      <c r="P86" s="22" t="n">
        <f aca="false">('Model inputs'!P163+'Model inputs'!P148)*'Model inputs'!AA154</f>
        <v>5260.710555968</v>
      </c>
      <c r="Q86" s="22" t="n">
        <f aca="false">('Model inputs'!Q163+'Model inputs'!Q148)*'Model inputs'!AA154</f>
        <v>6282.85334484864</v>
      </c>
      <c r="R86" s="22" t="n">
        <f aca="false">('Model inputs'!R163+'Model inputs'!R148)*'Model inputs'!AA154</f>
        <v>7397.28897795167</v>
      </c>
      <c r="S86" s="22" t="n">
        <f aca="false">('Model inputs'!S163+'Model inputs'!S148)*'Model inputs'!AA154</f>
        <v>8613.44516839264</v>
      </c>
      <c r="T86" s="22" t="n">
        <f aca="false">('Model inputs'!T163+'Model inputs'!T148)*'Model inputs'!AA154</f>
        <v>9941.68843202479</v>
      </c>
      <c r="U86" s="22" t="n">
        <f aca="false">('Model inputs'!U163+'Model inputs'!U148)*'Model inputs'!AA154</f>
        <v>11393.4180470843</v>
      </c>
      <c r="V86" s="22" t="n">
        <f aca="false">('Model inputs'!V163+'Model inputs'!V148)*'Model inputs'!AA154</f>
        <v>12981.1694082126</v>
      </c>
      <c r="W86" s="22" t="n">
        <f aca="false">('Model inputs'!W163+'Model inputs'!W148)*'Model inputs'!AA154</f>
        <v>14718.7277143254</v>
      </c>
      <c r="X86" s="22" t="n">
        <f aca="false">('Model inputs'!X163+'Model inputs'!X148)*'Model inputs'!AA154</f>
        <v>16621.2530237436</v>
      </c>
      <c r="Y86" s="22" t="n">
        <f aca="false">('Model inputs'!Y163+'Model inputs'!Y148)*'Model inputs'!AA154</f>
        <v>18705.4178133439</v>
      </c>
    </row>
    <row r="87" customFormat="false" ht="18" hidden="false" customHeight="false" outlineLevel="0" collapsed="false">
      <c r="A87" s="27" t="s">
        <v>288</v>
      </c>
      <c r="Z87" s="12" t="n">
        <f aca="false">'Gainsay drivers · Gainsay fixed'!B24</f>
        <v>0.3</v>
      </c>
    </row>
    <row r="88" customFormat="false" ht="18" hidden="false" customHeight="false" outlineLevel="0" collapsed="false">
      <c r="A88" s="27" t="s">
        <v>289</v>
      </c>
      <c r="AA88" s="12" t="n">
        <f aca="false">'Gainsay drivers · Gainsay fixed'!B24</f>
        <v>0.3</v>
      </c>
    </row>
    <row r="89" customFormat="false" ht="18" hidden="false" customHeight="false" outlineLevel="0" collapsed="false">
      <c r="A89" s="27" t="s">
        <v>290</v>
      </c>
      <c r="Z89" s="22" t="n">
        <f aca="false">'Gainsay drivers · Gainsay fixed'!B23</f>
        <v>0.029</v>
      </c>
    </row>
    <row r="90" customFormat="false" ht="18" hidden="false" customHeight="false" outlineLevel="0" collapsed="false">
      <c r="A90" s="27" t="s">
        <v>291</v>
      </c>
      <c r="AA90" s="22" t="n">
        <f aca="false">'Gainsay drivers · Gainsay fixed'!B23</f>
        <v>0.029</v>
      </c>
    </row>
    <row r="91" customFormat="false" ht="18" hidden="false" customHeight="false" outlineLevel="0" collapsed="false">
      <c r="A91" s="27" t="s">
        <v>292</v>
      </c>
      <c r="Z91" s="22" t="n">
        <f aca="false">'Gainsay drivers · Gainsay fixed'!B32</f>
        <v>30.4</v>
      </c>
    </row>
    <row r="92" customFormat="false" ht="18" hidden="false" customHeight="false" outlineLevel="0" collapsed="false">
      <c r="A92" s="27" t="s">
        <v>293</v>
      </c>
      <c r="AA92" s="22" t="n">
        <f aca="false">'Gainsay drivers · Gainsay fixed'!B32</f>
        <v>30.4</v>
      </c>
    </row>
    <row r="93" customFormat="false" ht="18" hidden="false" customHeight="false" outlineLevel="0" collapsed="false">
      <c r="A93" s="27" t="s">
        <v>294</v>
      </c>
      <c r="Z93" s="22" t="n">
        <f aca="false">'Gainsay drivers · Gainsay fixed'!B14</f>
        <v>1</v>
      </c>
    </row>
    <row r="94" customFormat="false" ht="18" hidden="false" customHeight="false" outlineLevel="0" collapsed="false">
      <c r="A94" s="27" t="s">
        <v>295</v>
      </c>
      <c r="AA94" s="22" t="n">
        <f aca="false">'Gainsay drivers · Gainsay fixed'!B14</f>
        <v>1</v>
      </c>
    </row>
    <row r="95" customFormat="false" ht="18" hidden="false" customHeight="false" outlineLevel="0" collapsed="false">
      <c r="A95" s="27" t="s">
        <v>296</v>
      </c>
      <c r="AA95" s="22" t="n">
        <f aca="false">'Gainsay drivers · Gainsay fixed'!B14</f>
        <v>1</v>
      </c>
    </row>
    <row r="96" customFormat="false" ht="18" hidden="false" customHeight="false" outlineLevel="0" collapsed="false">
      <c r="A96" s="27" t="s">
        <v>297</v>
      </c>
      <c r="AA96" s="22" t="n">
        <f aca="false">'Gainsay drivers · Gainsay fixed'!B14</f>
        <v>1</v>
      </c>
    </row>
    <row r="97" customFormat="false" ht="18" hidden="false" customHeight="false" outlineLevel="0" collapsed="false">
      <c r="A97" s="27" t="s">
        <v>176</v>
      </c>
      <c r="B97" s="22" t="n">
        <v>0</v>
      </c>
      <c r="C97" s="22" t="n">
        <v>0</v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f aca="false">DATEDIF(DATE(2026,10,1),DATE(2026,10,1),"M")+1</f>
        <v>1</v>
      </c>
      <c r="L97" s="22" t="n">
        <f aca="false">DATEDIF(DATE(2026,10,1),DATE(2026,11,1),"M")+1</f>
        <v>2</v>
      </c>
      <c r="M97" s="22" t="n">
        <f aca="false">DATEDIF(DATE(2026,10,1),DATE(2026,12,1),"M")+1</f>
        <v>3</v>
      </c>
      <c r="N97" s="22" t="n">
        <f aca="false">DATEDIF(DATE(2026,10,1),DATE(2027,1,1),"M")+1</f>
        <v>4</v>
      </c>
      <c r="O97" s="22" t="n">
        <f aca="false">DATEDIF(DATE(2026,10,1),DATE(2027,2,1),"M")+1</f>
        <v>5</v>
      </c>
      <c r="P97" s="22" t="n">
        <f aca="false">DATEDIF(DATE(2026,10,1),DATE(2027,3,1),"M")+1</f>
        <v>6</v>
      </c>
      <c r="Q97" s="22" t="n">
        <f aca="false">DATEDIF(DATE(2026,10,1),DATE(2027,4,1),"M")+1</f>
        <v>7</v>
      </c>
      <c r="R97" s="22" t="n">
        <f aca="false">DATEDIF(DATE(2026,10,1),DATE(2027,5,1),"M")+1</f>
        <v>8</v>
      </c>
      <c r="S97" s="22" t="n">
        <f aca="false">DATEDIF(DATE(2026,10,1),DATE(2027,6,1),"M")+1</f>
        <v>9</v>
      </c>
      <c r="T97" s="22" t="n">
        <f aca="false">DATEDIF(DATE(2026,10,1),DATE(2027,7,1),"M")+1</f>
        <v>10</v>
      </c>
      <c r="U97" s="22" t="n">
        <f aca="false">DATEDIF(DATE(2026,10,1),DATE(2027,8,1),"M")+1</f>
        <v>11</v>
      </c>
      <c r="V97" s="22" t="n">
        <f aca="false">DATEDIF(DATE(2026,10,1),DATE(2027,9,1),"M")+1</f>
        <v>12</v>
      </c>
      <c r="W97" s="22" t="n">
        <f aca="false">DATEDIF(DATE(2026,10,1),DATE(2027,10,1),"M")+1</f>
        <v>13</v>
      </c>
      <c r="X97" s="22" t="n">
        <f aca="false">DATEDIF(DATE(2026,10,1),DATE(2027,11,1),"M")+1</f>
        <v>14</v>
      </c>
      <c r="Y97" s="22" t="n">
        <f aca="false">DATEDIF(DATE(2026,10,1),DATE(2027,12,1),"M")+1</f>
        <v>15</v>
      </c>
    </row>
    <row r="98" customFormat="false" ht="18" hidden="false" customHeight="false" outlineLevel="0" collapsed="false">
      <c r="A98" s="27" t="s">
        <v>182</v>
      </c>
      <c r="B98" s="22" t="n">
        <v>0</v>
      </c>
      <c r="C98" s="22" t="n">
        <v>0</v>
      </c>
      <c r="D98" s="22" t="n"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f aca="false">IF(IF(IF(IFERROR(IF(ISERROR('Model inputs'!J98&gt;0),'Model inputs'!J98&gt;0,IF('Model inputs'!J98="","",'Model inputs'!J98&gt;0))=TRUE(),FALSE()),TRUE(),IF(IFERROR(IF(ISERROR('Model inputs'!K16&gt;0),'Model inputs'!K16&gt;0,IF('Model inputs'!K16="","",'Model inputs'!K16&gt;0))=TRUE(),FALSE()),TRUE(),IF(OR(IF(ISERROR('Model inputs'!J98&gt;0),'Model inputs'!J98&gt;0,IF('Model inputs'!J98="","",'Model inputs'!J98&gt;0))="",IF(ISERROR('Model inputs'!K16&gt;0),'Model inputs'!K16&gt;0,IF('Model inputs'!K16="","",'Model inputs'!K16&gt;0))=""),"",OR(IF(ISERROR('Model inputs'!J98&gt;0),'Model inputs'!J98&gt;0,IF('Model inputs'!J98="","",'Model inputs'!J98&gt;0)),IF(ISERROR('Model inputs'!K16&gt;0),'Model inputs'!K16&gt;0,IF('Model inputs'!K16="","",'Model inputs'!K16&gt;0))))))="",FALSE(),IF(IFERROR(IF(ISERROR('Model inputs'!J98&gt;0),'Model inputs'!J98&gt;0,IF('Model inputs'!J98="","",'Model inputs'!J98&gt;0))=TRUE(),FALSE()),TRUE(),IF(IFERROR(IF(ISERROR('Model inputs'!K16&gt;0),'Model inputs'!K16&gt;0,IF('Model inputs'!K16="","",'Model inputs'!K16&gt;0))=TRUE(),FALSE()),TRUE(),IF(OR(IF(ISERROR('Model inputs'!J98&gt;0),'Model inputs'!J98&gt;0,IF('Model inputs'!J98="","",'Model inputs'!J98&gt;0))="",IF(ISERROR('Model inputs'!K16&gt;0),'Model inputs'!K16&gt;0,IF('Model inputs'!K16="","",'Model inputs'!K16&gt;0))=""),"",OR(IF(ISERROR('Model inputs'!J98&gt;0),'Model inputs'!J98&gt;0,IF('Model inputs'!J98="","",'Model inputs'!J98&gt;0)),IF(ISERROR('Model inputs'!K16&gt;0),'Model inputs'!K16&gt;0,IF('Model inputs'!K16="","",'Model inputs'!K16&gt;0))))))),1,0)</f>
        <v>0</v>
      </c>
      <c r="L98" s="22" t="n">
        <f aca="false">IF(IF(IF(IFERROR(IF(ISERROR('Model inputs'!K98&gt;0),'Model inputs'!K98&gt;0,IF('Model inputs'!K98="","",'Model inputs'!K98&gt;0))=TRUE(),FALSE()),TRUE(),IF(IFERROR(IF(ISERROR('Model inputs'!L16&gt;0),'Model inputs'!L16&gt;0,IF('Model inputs'!L16="","",'Model inputs'!L16&gt;0))=TRUE(),FALSE()),TRUE(),IF(OR(IF(ISERROR('Model inputs'!K98&gt;0),'Model inputs'!K98&gt;0,IF('Model inputs'!K98="","",'Model inputs'!K98&gt;0))="",IF(ISERROR('Model inputs'!L16&gt;0),'Model inputs'!L16&gt;0,IF('Model inputs'!L16="","",'Model inputs'!L16&gt;0))=""),"",OR(IF(ISERROR('Model inputs'!K98&gt;0),'Model inputs'!K98&gt;0,IF('Model inputs'!K98="","",'Model inputs'!K98&gt;0)),IF(ISERROR('Model inputs'!L16&gt;0),'Model inputs'!L16&gt;0,IF('Model inputs'!L16="","",'Model inputs'!L16&gt;0))))))="",FALSE(),IF(IFERROR(IF(ISERROR('Model inputs'!K98&gt;0),'Model inputs'!K98&gt;0,IF('Model inputs'!K98="","",'Model inputs'!K98&gt;0))=TRUE(),FALSE()),TRUE(),IF(IFERROR(IF(ISERROR('Model inputs'!L16&gt;0),'Model inputs'!L16&gt;0,IF('Model inputs'!L16="","",'Model inputs'!L16&gt;0))=TRUE(),FALSE()),TRUE(),IF(OR(IF(ISERROR('Model inputs'!K98&gt;0),'Model inputs'!K98&gt;0,IF('Model inputs'!K98="","",'Model inputs'!K98&gt;0))="",IF(ISERROR('Model inputs'!L16&gt;0),'Model inputs'!L16&gt;0,IF('Model inputs'!L16="","",'Model inputs'!L16&gt;0))=""),"",OR(IF(ISERROR('Model inputs'!K98&gt;0),'Model inputs'!K98&gt;0,IF('Model inputs'!K98="","",'Model inputs'!K98&gt;0)),IF(ISERROR('Model inputs'!L16&gt;0),'Model inputs'!L16&gt;0,IF('Model inputs'!L16="","",'Model inputs'!L16&gt;0))))))),1,0)</f>
        <v>0</v>
      </c>
      <c r="M98" s="22" t="n">
        <f aca="false">IF(IF(IF(IFERROR(IF(ISERROR('Model inputs'!L98&gt;0),'Model inputs'!L98&gt;0,IF('Model inputs'!L98="","",'Model inputs'!L98&gt;0))=TRUE(),FALSE()),TRUE(),IF(IFERROR(IF(ISERROR('Model inputs'!M16&gt;0),'Model inputs'!M16&gt;0,IF('Model inputs'!M16="","",'Model inputs'!M16&gt;0))=TRUE(),FALSE()),TRUE(),IF(OR(IF(ISERROR('Model inputs'!L98&gt;0),'Model inputs'!L98&gt;0,IF('Model inputs'!L98="","",'Model inputs'!L98&gt;0))="",IF(ISERROR('Model inputs'!M16&gt;0),'Model inputs'!M16&gt;0,IF('Model inputs'!M16="","",'Model inputs'!M16&gt;0))=""),"",OR(IF(ISERROR('Model inputs'!L98&gt;0),'Model inputs'!L98&gt;0,IF('Model inputs'!L98="","",'Model inputs'!L98&gt;0)),IF(ISERROR('Model inputs'!M16&gt;0),'Model inputs'!M16&gt;0,IF('Model inputs'!M16="","",'Model inputs'!M16&gt;0))))))="",FALSE(),IF(IFERROR(IF(ISERROR('Model inputs'!L98&gt;0),'Model inputs'!L98&gt;0,IF('Model inputs'!L98="","",'Model inputs'!L98&gt;0))=TRUE(),FALSE()),TRUE(),IF(IFERROR(IF(ISERROR('Model inputs'!M16&gt;0),'Model inputs'!M16&gt;0,IF('Model inputs'!M16="","",'Model inputs'!M16&gt;0))=TRUE(),FALSE()),TRUE(),IF(OR(IF(ISERROR('Model inputs'!L98&gt;0),'Model inputs'!L98&gt;0,IF('Model inputs'!L98="","",'Model inputs'!L98&gt;0))="",IF(ISERROR('Model inputs'!M16&gt;0),'Model inputs'!M16&gt;0,IF('Model inputs'!M16="","",'Model inputs'!M16&gt;0))=""),"",OR(IF(ISERROR('Model inputs'!L98&gt;0),'Model inputs'!L98&gt;0,IF('Model inputs'!L98="","",'Model inputs'!L98&gt;0)),IF(ISERROR('Model inputs'!M16&gt;0),'Model inputs'!M16&gt;0,IF('Model inputs'!M16="","",'Model inputs'!M16&gt;0))))))),1,0)</f>
        <v>0</v>
      </c>
      <c r="N98" s="22" t="n">
        <f aca="false">IF(IF(IF(IFERROR(IF(ISERROR('Model inputs'!M98&gt;0),'Model inputs'!M98&gt;0,IF('Model inputs'!M98="","",'Model inputs'!M98&gt;0))=TRUE(),FALSE()),TRUE(),IF(IFERROR(IF(ISERROR('Model inputs'!N16&gt;0),'Model inputs'!N16&gt;0,IF('Model inputs'!N16="","",'Model inputs'!N16&gt;0))=TRUE(),FALSE()),TRUE(),IF(OR(IF(ISERROR('Model inputs'!M98&gt;0),'Model inputs'!M98&gt;0,IF('Model inputs'!M98="","",'Model inputs'!M98&gt;0))="",IF(ISERROR('Model inputs'!N16&gt;0),'Model inputs'!N16&gt;0,IF('Model inputs'!N16="","",'Model inputs'!N16&gt;0))=""),"",OR(IF(ISERROR('Model inputs'!M98&gt;0),'Model inputs'!M98&gt;0,IF('Model inputs'!M98="","",'Model inputs'!M98&gt;0)),IF(ISERROR('Model inputs'!N16&gt;0),'Model inputs'!N16&gt;0,IF('Model inputs'!N16="","",'Model inputs'!N16&gt;0))))))="",FALSE(),IF(IFERROR(IF(ISERROR('Model inputs'!M98&gt;0),'Model inputs'!M98&gt;0,IF('Model inputs'!M98="","",'Model inputs'!M98&gt;0))=TRUE(),FALSE()),TRUE(),IF(IFERROR(IF(ISERROR('Model inputs'!N16&gt;0),'Model inputs'!N16&gt;0,IF('Model inputs'!N16="","",'Model inputs'!N16&gt;0))=TRUE(),FALSE()),TRUE(),IF(OR(IF(ISERROR('Model inputs'!M98&gt;0),'Model inputs'!M98&gt;0,IF('Model inputs'!M98="","",'Model inputs'!M98&gt;0))="",IF(ISERROR('Model inputs'!N16&gt;0),'Model inputs'!N16&gt;0,IF('Model inputs'!N16="","",'Model inputs'!N16&gt;0))=""),"",OR(IF(ISERROR('Model inputs'!M98&gt;0),'Model inputs'!M98&gt;0,IF('Model inputs'!M98="","",'Model inputs'!M98&gt;0)),IF(ISERROR('Model inputs'!N16&gt;0),'Model inputs'!N16&gt;0,IF('Model inputs'!N16="","",'Model inputs'!N16&gt;0))))))),1,0)</f>
        <v>0</v>
      </c>
      <c r="O98" s="22" t="n">
        <f aca="false">IF(IF(IF(IFERROR(IF(ISERROR('Model inputs'!N98&gt;0),'Model inputs'!N98&gt;0,IF('Model inputs'!N98="","",'Model inputs'!N98&gt;0))=TRUE(),FALSE()),TRUE(),IF(IFERROR(IF(ISERROR('Model inputs'!O16&gt;0),'Model inputs'!O16&gt;0,IF('Model inputs'!O16="","",'Model inputs'!O16&gt;0))=TRUE(),FALSE()),TRUE(),IF(OR(IF(ISERROR('Model inputs'!N98&gt;0),'Model inputs'!N98&gt;0,IF('Model inputs'!N98="","",'Model inputs'!N98&gt;0))="",IF(ISERROR('Model inputs'!O16&gt;0),'Model inputs'!O16&gt;0,IF('Model inputs'!O16="","",'Model inputs'!O16&gt;0))=""),"",OR(IF(ISERROR('Model inputs'!N98&gt;0),'Model inputs'!N98&gt;0,IF('Model inputs'!N98="","",'Model inputs'!N98&gt;0)),IF(ISERROR('Model inputs'!O16&gt;0),'Model inputs'!O16&gt;0,IF('Model inputs'!O16="","",'Model inputs'!O16&gt;0))))))="",FALSE(),IF(IFERROR(IF(ISERROR('Model inputs'!N98&gt;0),'Model inputs'!N98&gt;0,IF('Model inputs'!N98="","",'Model inputs'!N98&gt;0))=TRUE(),FALSE()),TRUE(),IF(IFERROR(IF(ISERROR('Model inputs'!O16&gt;0),'Model inputs'!O16&gt;0,IF('Model inputs'!O16="","",'Model inputs'!O16&gt;0))=TRUE(),FALSE()),TRUE(),IF(OR(IF(ISERROR('Model inputs'!N98&gt;0),'Model inputs'!N98&gt;0,IF('Model inputs'!N98="","",'Model inputs'!N98&gt;0))="",IF(ISERROR('Model inputs'!O16&gt;0),'Model inputs'!O16&gt;0,IF('Model inputs'!O16="","",'Model inputs'!O16&gt;0))=""),"",OR(IF(ISERROR('Model inputs'!N98&gt;0),'Model inputs'!N98&gt;0,IF('Model inputs'!N98="","",'Model inputs'!N98&gt;0)),IF(ISERROR('Model inputs'!O16&gt;0),'Model inputs'!O16&gt;0,IF('Model inputs'!O16="","",'Model inputs'!O16&gt;0))))))),1,0)</f>
        <v>0</v>
      </c>
      <c r="P98" s="22" t="n">
        <f aca="false">IF(IF(IF(IFERROR(IF(ISERROR('Model inputs'!O98&gt;0),'Model inputs'!O98&gt;0,IF('Model inputs'!O98="","",'Model inputs'!O98&gt;0))=TRUE(),FALSE()),TRUE(),IF(IFERROR(IF(ISERROR('Model inputs'!P16&gt;0),'Model inputs'!P16&gt;0,IF('Model inputs'!P16="","",'Model inputs'!P16&gt;0))=TRUE(),FALSE()),TRUE(),IF(OR(IF(ISERROR('Model inputs'!O98&gt;0),'Model inputs'!O98&gt;0,IF('Model inputs'!O98="","",'Model inputs'!O98&gt;0))="",IF(ISERROR('Model inputs'!P16&gt;0),'Model inputs'!P16&gt;0,IF('Model inputs'!P16="","",'Model inputs'!P16&gt;0))=""),"",OR(IF(ISERROR('Model inputs'!O98&gt;0),'Model inputs'!O98&gt;0,IF('Model inputs'!O98="","",'Model inputs'!O98&gt;0)),IF(ISERROR('Model inputs'!P16&gt;0),'Model inputs'!P16&gt;0,IF('Model inputs'!P16="","",'Model inputs'!P16&gt;0))))))="",FALSE(),IF(IFERROR(IF(ISERROR('Model inputs'!O98&gt;0),'Model inputs'!O98&gt;0,IF('Model inputs'!O98="","",'Model inputs'!O98&gt;0))=TRUE(),FALSE()),TRUE(),IF(IFERROR(IF(ISERROR('Model inputs'!P16&gt;0),'Model inputs'!P16&gt;0,IF('Model inputs'!P16="","",'Model inputs'!P16&gt;0))=TRUE(),FALSE()),TRUE(),IF(OR(IF(ISERROR('Model inputs'!O98&gt;0),'Model inputs'!O98&gt;0,IF('Model inputs'!O98="","",'Model inputs'!O98&gt;0))="",IF(ISERROR('Model inputs'!P16&gt;0),'Model inputs'!P16&gt;0,IF('Model inputs'!P16="","",'Model inputs'!P16&gt;0))=""),"",OR(IF(ISERROR('Model inputs'!O98&gt;0),'Model inputs'!O98&gt;0,IF('Model inputs'!O98="","",'Model inputs'!O98&gt;0)),IF(ISERROR('Model inputs'!P16&gt;0),'Model inputs'!P16&gt;0,IF('Model inputs'!P16="","",'Model inputs'!P16&gt;0))))))),1,0)</f>
        <v>0</v>
      </c>
      <c r="Q98" s="22" t="n">
        <f aca="false">IF(IF(IF(IFERROR(IF(ISERROR('Model inputs'!P98&gt;0),'Model inputs'!P98&gt;0,IF('Model inputs'!P98="","",'Model inputs'!P98&gt;0))=TRUE(),FALSE()),TRUE(),IF(IFERROR(IF(ISERROR('Model inputs'!Q16&gt;0),'Model inputs'!Q16&gt;0,IF('Model inputs'!Q16="","",'Model inputs'!Q16&gt;0))=TRUE(),FALSE()),TRUE(),IF(OR(IF(ISERROR('Model inputs'!P98&gt;0),'Model inputs'!P98&gt;0,IF('Model inputs'!P98="","",'Model inputs'!P98&gt;0))="",IF(ISERROR('Model inputs'!Q16&gt;0),'Model inputs'!Q16&gt;0,IF('Model inputs'!Q16="","",'Model inputs'!Q16&gt;0))=""),"",OR(IF(ISERROR('Model inputs'!P98&gt;0),'Model inputs'!P98&gt;0,IF('Model inputs'!P98="","",'Model inputs'!P98&gt;0)),IF(ISERROR('Model inputs'!Q16&gt;0),'Model inputs'!Q16&gt;0,IF('Model inputs'!Q16="","",'Model inputs'!Q16&gt;0))))))="",FALSE(),IF(IFERROR(IF(ISERROR('Model inputs'!P98&gt;0),'Model inputs'!P98&gt;0,IF('Model inputs'!P98="","",'Model inputs'!P98&gt;0))=TRUE(),FALSE()),TRUE(),IF(IFERROR(IF(ISERROR('Model inputs'!Q16&gt;0),'Model inputs'!Q16&gt;0,IF('Model inputs'!Q16="","",'Model inputs'!Q16&gt;0))=TRUE(),FALSE()),TRUE(),IF(OR(IF(ISERROR('Model inputs'!P98&gt;0),'Model inputs'!P98&gt;0,IF('Model inputs'!P98="","",'Model inputs'!P98&gt;0))="",IF(ISERROR('Model inputs'!Q16&gt;0),'Model inputs'!Q16&gt;0,IF('Model inputs'!Q16="","",'Model inputs'!Q16&gt;0))=""),"",OR(IF(ISERROR('Model inputs'!P98&gt;0),'Model inputs'!P98&gt;0,IF('Model inputs'!P98="","",'Model inputs'!P98&gt;0)),IF(ISERROR('Model inputs'!Q16&gt;0),'Model inputs'!Q16&gt;0,IF('Model inputs'!Q16="","",'Model inputs'!Q16&gt;0))))))),1,0)</f>
        <v>0</v>
      </c>
      <c r="R98" s="22" t="n">
        <f aca="false">IF(IF(IF(IFERROR(IF(ISERROR('Model inputs'!Q98&gt;0),'Model inputs'!Q98&gt;0,IF('Model inputs'!Q98="","",'Model inputs'!Q98&gt;0))=TRUE(),FALSE()),TRUE(),IF(IFERROR(IF(ISERROR('Model inputs'!R16&gt;0),'Model inputs'!R16&gt;0,IF('Model inputs'!R16="","",'Model inputs'!R16&gt;0))=TRUE(),FALSE()),TRUE(),IF(OR(IF(ISERROR('Model inputs'!Q98&gt;0),'Model inputs'!Q98&gt;0,IF('Model inputs'!Q98="","",'Model inputs'!Q98&gt;0))="",IF(ISERROR('Model inputs'!R16&gt;0),'Model inputs'!R16&gt;0,IF('Model inputs'!R16="","",'Model inputs'!R16&gt;0))=""),"",OR(IF(ISERROR('Model inputs'!Q98&gt;0),'Model inputs'!Q98&gt;0,IF('Model inputs'!Q98="","",'Model inputs'!Q98&gt;0)),IF(ISERROR('Model inputs'!R16&gt;0),'Model inputs'!R16&gt;0,IF('Model inputs'!R16="","",'Model inputs'!R16&gt;0))))))="",FALSE(),IF(IFERROR(IF(ISERROR('Model inputs'!Q98&gt;0),'Model inputs'!Q98&gt;0,IF('Model inputs'!Q98="","",'Model inputs'!Q98&gt;0))=TRUE(),FALSE()),TRUE(),IF(IFERROR(IF(ISERROR('Model inputs'!R16&gt;0),'Model inputs'!R16&gt;0,IF('Model inputs'!R16="","",'Model inputs'!R16&gt;0))=TRUE(),FALSE()),TRUE(),IF(OR(IF(ISERROR('Model inputs'!Q98&gt;0),'Model inputs'!Q98&gt;0,IF('Model inputs'!Q98="","",'Model inputs'!Q98&gt;0))="",IF(ISERROR('Model inputs'!R16&gt;0),'Model inputs'!R16&gt;0,IF('Model inputs'!R16="","",'Model inputs'!R16&gt;0))=""),"",OR(IF(ISERROR('Model inputs'!Q98&gt;0),'Model inputs'!Q98&gt;0,IF('Model inputs'!Q98="","",'Model inputs'!Q98&gt;0)),IF(ISERROR('Model inputs'!R16&gt;0),'Model inputs'!R16&gt;0,IF('Model inputs'!R16="","",'Model inputs'!R16&gt;0))))))),1,0)</f>
        <v>0</v>
      </c>
      <c r="S98" s="22" t="n">
        <f aca="false">IF(IF(IF(IFERROR(IF(ISERROR('Model inputs'!R98&gt;0),'Model inputs'!R98&gt;0,IF('Model inputs'!R98="","",'Model inputs'!R98&gt;0))=TRUE(),FALSE()),TRUE(),IF(IFERROR(IF(ISERROR('Model inputs'!S16&gt;0),'Model inputs'!S16&gt;0,IF('Model inputs'!S16="","",'Model inputs'!S16&gt;0))=TRUE(),FALSE()),TRUE(),IF(OR(IF(ISERROR('Model inputs'!R98&gt;0),'Model inputs'!R98&gt;0,IF('Model inputs'!R98="","",'Model inputs'!R98&gt;0))="",IF(ISERROR('Model inputs'!S16&gt;0),'Model inputs'!S16&gt;0,IF('Model inputs'!S16="","",'Model inputs'!S16&gt;0))=""),"",OR(IF(ISERROR('Model inputs'!R98&gt;0),'Model inputs'!R98&gt;0,IF('Model inputs'!R98="","",'Model inputs'!R98&gt;0)),IF(ISERROR('Model inputs'!S16&gt;0),'Model inputs'!S16&gt;0,IF('Model inputs'!S16="","",'Model inputs'!S16&gt;0))))))="",FALSE(),IF(IFERROR(IF(ISERROR('Model inputs'!R98&gt;0),'Model inputs'!R98&gt;0,IF('Model inputs'!R98="","",'Model inputs'!R98&gt;0))=TRUE(),FALSE()),TRUE(),IF(IFERROR(IF(ISERROR('Model inputs'!S16&gt;0),'Model inputs'!S16&gt;0,IF('Model inputs'!S16="","",'Model inputs'!S16&gt;0))=TRUE(),FALSE()),TRUE(),IF(OR(IF(ISERROR('Model inputs'!R98&gt;0),'Model inputs'!R98&gt;0,IF('Model inputs'!R98="","",'Model inputs'!R98&gt;0))="",IF(ISERROR('Model inputs'!S16&gt;0),'Model inputs'!S16&gt;0,IF('Model inputs'!S16="","",'Model inputs'!S16&gt;0))=""),"",OR(IF(ISERROR('Model inputs'!R98&gt;0),'Model inputs'!R98&gt;0,IF('Model inputs'!R98="","",'Model inputs'!R98&gt;0)),IF(ISERROR('Model inputs'!S16&gt;0),'Model inputs'!S16&gt;0,IF('Model inputs'!S16="","",'Model inputs'!S16&gt;0))))))),1,0)</f>
        <v>0</v>
      </c>
      <c r="T98" s="22" t="n">
        <f aca="false">IF(IF(IF(IFERROR(IF(ISERROR('Model inputs'!S98&gt;0),'Model inputs'!S98&gt;0,IF('Model inputs'!S98="","",'Model inputs'!S98&gt;0))=TRUE(),FALSE()),TRUE(),IF(IFERROR(IF(ISERROR('Model inputs'!T16&gt;0),'Model inputs'!T16&gt;0,IF('Model inputs'!T16="","",'Model inputs'!T16&gt;0))=TRUE(),FALSE()),TRUE(),IF(OR(IF(ISERROR('Model inputs'!S98&gt;0),'Model inputs'!S98&gt;0,IF('Model inputs'!S98="","",'Model inputs'!S98&gt;0))="",IF(ISERROR('Model inputs'!T16&gt;0),'Model inputs'!T16&gt;0,IF('Model inputs'!T16="","",'Model inputs'!T16&gt;0))=""),"",OR(IF(ISERROR('Model inputs'!S98&gt;0),'Model inputs'!S98&gt;0,IF('Model inputs'!S98="","",'Model inputs'!S98&gt;0)),IF(ISERROR('Model inputs'!T16&gt;0),'Model inputs'!T16&gt;0,IF('Model inputs'!T16="","",'Model inputs'!T16&gt;0))))))="",FALSE(),IF(IFERROR(IF(ISERROR('Model inputs'!S98&gt;0),'Model inputs'!S98&gt;0,IF('Model inputs'!S98="","",'Model inputs'!S98&gt;0))=TRUE(),FALSE()),TRUE(),IF(IFERROR(IF(ISERROR('Model inputs'!T16&gt;0),'Model inputs'!T16&gt;0,IF('Model inputs'!T16="","",'Model inputs'!T16&gt;0))=TRUE(),FALSE()),TRUE(),IF(OR(IF(ISERROR('Model inputs'!S98&gt;0),'Model inputs'!S98&gt;0,IF('Model inputs'!S98="","",'Model inputs'!S98&gt;0))="",IF(ISERROR('Model inputs'!T16&gt;0),'Model inputs'!T16&gt;0,IF('Model inputs'!T16="","",'Model inputs'!T16&gt;0))=""),"",OR(IF(ISERROR('Model inputs'!S98&gt;0),'Model inputs'!S98&gt;0,IF('Model inputs'!S98="","",'Model inputs'!S98&gt;0)),IF(ISERROR('Model inputs'!T16&gt;0),'Model inputs'!T16&gt;0,IF('Model inputs'!T16="","",'Model inputs'!T16&gt;0))))))),1,0)</f>
        <v>1</v>
      </c>
      <c r="U98" s="22" t="n">
        <f aca="false">IF(IF(IF(IFERROR(IF(ISERROR('Model inputs'!T98&gt;0),'Model inputs'!T98&gt;0,IF('Model inputs'!T98="","",'Model inputs'!T98&gt;0))=TRUE(),FALSE()),TRUE(),IF(IFERROR(IF(ISERROR('Model inputs'!U16&gt;0),'Model inputs'!U16&gt;0,IF('Model inputs'!U16="","",'Model inputs'!U16&gt;0))=TRUE(),FALSE()),TRUE(),IF(OR(IF(ISERROR('Model inputs'!T98&gt;0),'Model inputs'!T98&gt;0,IF('Model inputs'!T98="","",'Model inputs'!T98&gt;0))="",IF(ISERROR('Model inputs'!U16&gt;0),'Model inputs'!U16&gt;0,IF('Model inputs'!U16="","",'Model inputs'!U16&gt;0))=""),"",OR(IF(ISERROR('Model inputs'!T98&gt;0),'Model inputs'!T98&gt;0,IF('Model inputs'!T98="","",'Model inputs'!T98&gt;0)),IF(ISERROR('Model inputs'!U16&gt;0),'Model inputs'!U16&gt;0,IF('Model inputs'!U16="","",'Model inputs'!U16&gt;0))))))="",FALSE(),IF(IFERROR(IF(ISERROR('Model inputs'!T98&gt;0),'Model inputs'!T98&gt;0,IF('Model inputs'!T98="","",'Model inputs'!T98&gt;0))=TRUE(),FALSE()),TRUE(),IF(IFERROR(IF(ISERROR('Model inputs'!U16&gt;0),'Model inputs'!U16&gt;0,IF('Model inputs'!U16="","",'Model inputs'!U16&gt;0))=TRUE(),FALSE()),TRUE(),IF(OR(IF(ISERROR('Model inputs'!T98&gt;0),'Model inputs'!T98&gt;0,IF('Model inputs'!T98="","",'Model inputs'!T98&gt;0))="",IF(ISERROR('Model inputs'!U16&gt;0),'Model inputs'!U16&gt;0,IF('Model inputs'!U16="","",'Model inputs'!U16&gt;0))=""),"",OR(IF(ISERROR('Model inputs'!T98&gt;0),'Model inputs'!T98&gt;0,IF('Model inputs'!T98="","",'Model inputs'!T98&gt;0)),IF(ISERROR('Model inputs'!U16&gt;0),'Model inputs'!U16&gt;0,IF('Model inputs'!U16="","",'Model inputs'!U16&gt;0))))))),1,0)</f>
        <v>1</v>
      </c>
      <c r="V98" s="22" t="n">
        <f aca="false">IF(IF(IF(IFERROR(IF(ISERROR('Model inputs'!U98&gt;0),'Model inputs'!U98&gt;0,IF('Model inputs'!U98="","",'Model inputs'!U98&gt;0))=TRUE(),FALSE()),TRUE(),IF(IFERROR(IF(ISERROR('Model inputs'!V16&gt;0),'Model inputs'!V16&gt;0,IF('Model inputs'!V16="","",'Model inputs'!V16&gt;0))=TRUE(),FALSE()),TRUE(),IF(OR(IF(ISERROR('Model inputs'!U98&gt;0),'Model inputs'!U98&gt;0,IF('Model inputs'!U98="","",'Model inputs'!U98&gt;0))="",IF(ISERROR('Model inputs'!V16&gt;0),'Model inputs'!V16&gt;0,IF('Model inputs'!V16="","",'Model inputs'!V16&gt;0))=""),"",OR(IF(ISERROR('Model inputs'!U98&gt;0),'Model inputs'!U98&gt;0,IF('Model inputs'!U98="","",'Model inputs'!U98&gt;0)),IF(ISERROR('Model inputs'!V16&gt;0),'Model inputs'!V16&gt;0,IF('Model inputs'!V16="","",'Model inputs'!V16&gt;0))))))="",FALSE(),IF(IFERROR(IF(ISERROR('Model inputs'!U98&gt;0),'Model inputs'!U98&gt;0,IF('Model inputs'!U98="","",'Model inputs'!U98&gt;0))=TRUE(),FALSE()),TRUE(),IF(IFERROR(IF(ISERROR('Model inputs'!V16&gt;0),'Model inputs'!V16&gt;0,IF('Model inputs'!V16="","",'Model inputs'!V16&gt;0))=TRUE(),FALSE()),TRUE(),IF(OR(IF(ISERROR('Model inputs'!U98&gt;0),'Model inputs'!U98&gt;0,IF('Model inputs'!U98="","",'Model inputs'!U98&gt;0))="",IF(ISERROR('Model inputs'!V16&gt;0),'Model inputs'!V16&gt;0,IF('Model inputs'!V16="","",'Model inputs'!V16&gt;0))=""),"",OR(IF(ISERROR('Model inputs'!U98&gt;0),'Model inputs'!U98&gt;0,IF('Model inputs'!U98="","",'Model inputs'!U98&gt;0)),IF(ISERROR('Model inputs'!V16&gt;0),'Model inputs'!V16&gt;0,IF('Model inputs'!V16="","",'Model inputs'!V16&gt;0))))))),1,0)</f>
        <v>1</v>
      </c>
      <c r="W98" s="22" t="n">
        <f aca="false">IF(IF(IF(IFERROR(IF(ISERROR('Model inputs'!V98&gt;0),'Model inputs'!V98&gt;0,IF('Model inputs'!V98="","",'Model inputs'!V98&gt;0))=TRUE(),FALSE()),TRUE(),IF(IFERROR(IF(ISERROR('Model inputs'!W16&gt;0),'Model inputs'!W16&gt;0,IF('Model inputs'!W16="","",'Model inputs'!W16&gt;0))=TRUE(),FALSE()),TRUE(),IF(OR(IF(ISERROR('Model inputs'!V98&gt;0),'Model inputs'!V98&gt;0,IF('Model inputs'!V98="","",'Model inputs'!V98&gt;0))="",IF(ISERROR('Model inputs'!W16&gt;0),'Model inputs'!W16&gt;0,IF('Model inputs'!W16="","",'Model inputs'!W16&gt;0))=""),"",OR(IF(ISERROR('Model inputs'!V98&gt;0),'Model inputs'!V98&gt;0,IF('Model inputs'!V98="","",'Model inputs'!V98&gt;0)),IF(ISERROR('Model inputs'!W16&gt;0),'Model inputs'!W16&gt;0,IF('Model inputs'!W16="","",'Model inputs'!W16&gt;0))))))="",FALSE(),IF(IFERROR(IF(ISERROR('Model inputs'!V98&gt;0),'Model inputs'!V98&gt;0,IF('Model inputs'!V98="","",'Model inputs'!V98&gt;0))=TRUE(),FALSE()),TRUE(),IF(IFERROR(IF(ISERROR('Model inputs'!W16&gt;0),'Model inputs'!W16&gt;0,IF('Model inputs'!W16="","",'Model inputs'!W16&gt;0))=TRUE(),FALSE()),TRUE(),IF(OR(IF(ISERROR('Model inputs'!V98&gt;0),'Model inputs'!V98&gt;0,IF('Model inputs'!V98="","",'Model inputs'!V98&gt;0))="",IF(ISERROR('Model inputs'!W16&gt;0),'Model inputs'!W16&gt;0,IF('Model inputs'!W16="","",'Model inputs'!W16&gt;0))=""),"",OR(IF(ISERROR('Model inputs'!V98&gt;0),'Model inputs'!V98&gt;0,IF('Model inputs'!V98="","",'Model inputs'!V98&gt;0)),IF(ISERROR('Model inputs'!W16&gt;0),'Model inputs'!W16&gt;0,IF('Model inputs'!W16="","",'Model inputs'!W16&gt;0))))))),1,0)</f>
        <v>1</v>
      </c>
      <c r="X98" s="22" t="n">
        <f aca="false">IF(IF(IF(IFERROR(IF(ISERROR('Model inputs'!W98&gt;0),'Model inputs'!W98&gt;0,IF('Model inputs'!W98="","",'Model inputs'!W98&gt;0))=TRUE(),FALSE()),TRUE(),IF(IFERROR(IF(ISERROR('Model inputs'!X16&gt;0),'Model inputs'!X16&gt;0,IF('Model inputs'!X16="","",'Model inputs'!X16&gt;0))=TRUE(),FALSE()),TRUE(),IF(OR(IF(ISERROR('Model inputs'!W98&gt;0),'Model inputs'!W98&gt;0,IF('Model inputs'!W98="","",'Model inputs'!W98&gt;0))="",IF(ISERROR('Model inputs'!X16&gt;0),'Model inputs'!X16&gt;0,IF('Model inputs'!X16="","",'Model inputs'!X16&gt;0))=""),"",OR(IF(ISERROR('Model inputs'!W98&gt;0),'Model inputs'!W98&gt;0,IF('Model inputs'!W98="","",'Model inputs'!W98&gt;0)),IF(ISERROR('Model inputs'!X16&gt;0),'Model inputs'!X16&gt;0,IF('Model inputs'!X16="","",'Model inputs'!X16&gt;0))))))="",FALSE(),IF(IFERROR(IF(ISERROR('Model inputs'!W98&gt;0),'Model inputs'!W98&gt;0,IF('Model inputs'!W98="","",'Model inputs'!W98&gt;0))=TRUE(),FALSE()),TRUE(),IF(IFERROR(IF(ISERROR('Model inputs'!X16&gt;0),'Model inputs'!X16&gt;0,IF('Model inputs'!X16="","",'Model inputs'!X16&gt;0))=TRUE(),FALSE()),TRUE(),IF(OR(IF(ISERROR('Model inputs'!W98&gt;0),'Model inputs'!W98&gt;0,IF('Model inputs'!W98="","",'Model inputs'!W98&gt;0))="",IF(ISERROR('Model inputs'!X16&gt;0),'Model inputs'!X16&gt;0,IF('Model inputs'!X16="","",'Model inputs'!X16&gt;0))=""),"",OR(IF(ISERROR('Model inputs'!W98&gt;0),'Model inputs'!W98&gt;0,IF('Model inputs'!W98="","",'Model inputs'!W98&gt;0)),IF(ISERROR('Model inputs'!X16&gt;0),'Model inputs'!X16&gt;0,IF('Model inputs'!X16="","",'Model inputs'!X16&gt;0))))))),1,0)</f>
        <v>1</v>
      </c>
      <c r="Y98" s="22" t="n">
        <f aca="false">IF(IF(IF(IFERROR(IF(ISERROR('Model inputs'!X98&gt;0),'Model inputs'!X98&gt;0,IF('Model inputs'!X98="","",'Model inputs'!X98&gt;0))=TRUE(),FALSE()),TRUE(),IF(IFERROR(IF(ISERROR('Model inputs'!Y16&gt;0),'Model inputs'!Y16&gt;0,IF('Model inputs'!Y16="","",'Model inputs'!Y16&gt;0))=TRUE(),FALSE()),TRUE(),IF(OR(IF(ISERROR('Model inputs'!X98&gt;0),'Model inputs'!X98&gt;0,IF('Model inputs'!X98="","",'Model inputs'!X98&gt;0))="",IF(ISERROR('Model inputs'!Y16&gt;0),'Model inputs'!Y16&gt;0,IF('Model inputs'!Y16="","",'Model inputs'!Y16&gt;0))=""),"",OR(IF(ISERROR('Model inputs'!X98&gt;0),'Model inputs'!X98&gt;0,IF('Model inputs'!X98="","",'Model inputs'!X98&gt;0)),IF(ISERROR('Model inputs'!Y16&gt;0),'Model inputs'!Y16&gt;0,IF('Model inputs'!Y16="","",'Model inputs'!Y16&gt;0))))))="",FALSE(),IF(IFERROR(IF(ISERROR('Model inputs'!X98&gt;0),'Model inputs'!X98&gt;0,IF('Model inputs'!X98="","",'Model inputs'!X98&gt;0))=TRUE(),FALSE()),TRUE(),IF(IFERROR(IF(ISERROR('Model inputs'!Y16&gt;0),'Model inputs'!Y16&gt;0,IF('Model inputs'!Y16="","",'Model inputs'!Y16&gt;0))=TRUE(),FALSE()),TRUE(),IF(OR(IF(ISERROR('Model inputs'!X98&gt;0),'Model inputs'!X98&gt;0,IF('Model inputs'!X98="","",'Model inputs'!X98&gt;0))="",IF(ISERROR('Model inputs'!Y16&gt;0),'Model inputs'!Y16&gt;0,IF('Model inputs'!Y16="","",'Model inputs'!Y16&gt;0))=""),"",OR(IF(ISERROR('Model inputs'!X98&gt;0),'Model inputs'!X98&gt;0,IF('Model inputs'!X98="","",'Model inputs'!X98&gt;0)),IF(ISERROR('Model inputs'!Y16&gt;0),'Model inputs'!Y16&gt;0,IF('Model inputs'!Y16="","",'Model inputs'!Y16&gt;0))))))),1,0)</f>
        <v>1</v>
      </c>
    </row>
    <row r="99" customFormat="false" ht="18" hidden="false" customHeight="false" outlineLevel="0" collapsed="false">
      <c r="A99" s="27" t="s">
        <v>184</v>
      </c>
      <c r="B99" s="12" t="n">
        <v>0</v>
      </c>
      <c r="C99" s="12" t="n">
        <v>0</v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f aca="false">'Model inputs'!K98*'Model inputs'!Z100</f>
        <v>0</v>
      </c>
      <c r="L99" s="12" t="n">
        <f aca="false">'Model inputs'!L98*'Model inputs'!Z100</f>
        <v>0</v>
      </c>
      <c r="M99" s="12" t="n">
        <f aca="false">'Model inputs'!M98*'Model inputs'!Z100</f>
        <v>0</v>
      </c>
      <c r="N99" s="12" t="n">
        <f aca="false">'Model inputs'!N98*'Model inputs'!Z100</f>
        <v>0</v>
      </c>
      <c r="O99" s="12" t="n">
        <f aca="false">'Model inputs'!O98*'Model inputs'!Z100</f>
        <v>0</v>
      </c>
      <c r="P99" s="12" t="n">
        <f aca="false">'Model inputs'!P98*'Model inputs'!Z100</f>
        <v>0</v>
      </c>
      <c r="Q99" s="12" t="n">
        <f aca="false">'Model inputs'!Q98*'Model inputs'!Z100</f>
        <v>0</v>
      </c>
      <c r="R99" s="12" t="n">
        <f aca="false">'Model inputs'!R98*'Model inputs'!Z100</f>
        <v>0</v>
      </c>
      <c r="S99" s="12" t="n">
        <f aca="false">'Model inputs'!S98*'Model inputs'!Z100</f>
        <v>0</v>
      </c>
      <c r="T99" s="12" t="n">
        <f aca="false">'Model inputs'!T98*'Model inputs'!Z100</f>
        <v>0</v>
      </c>
      <c r="U99" s="12" t="n">
        <f aca="false">'Model inputs'!U98*'Model inputs'!Z100</f>
        <v>0</v>
      </c>
      <c r="V99" s="12" t="n">
        <f aca="false">'Model inputs'!V98*'Model inputs'!Z100</f>
        <v>0</v>
      </c>
      <c r="W99" s="12" t="n">
        <f aca="false">'Model inputs'!W98*'Model inputs'!Z100</f>
        <v>0</v>
      </c>
      <c r="X99" s="12" t="n">
        <f aca="false">'Model inputs'!X98*'Model inputs'!Z100</f>
        <v>0</v>
      </c>
      <c r="Y99" s="12" t="n">
        <f aca="false">'Model inputs'!Y98*'Model inputs'!Z100</f>
        <v>0</v>
      </c>
    </row>
    <row r="100" customFormat="false" ht="18" hidden="false" customHeight="false" outlineLevel="0" collapsed="false">
      <c r="A100" s="27" t="s">
        <v>298</v>
      </c>
      <c r="Z100" s="12" t="n">
        <f aca="false">'Gainsay drivers · Gainsay fixed'!B30</f>
        <v>0</v>
      </c>
    </row>
    <row r="101" customFormat="false" ht="18" hidden="false" customHeight="false" outlineLevel="0" collapsed="false">
      <c r="A101" s="27" t="s">
        <v>299</v>
      </c>
      <c r="AA101" s="12" t="n">
        <f aca="false">'Gainsay drivers · Gainsay fixed'!B30</f>
        <v>0</v>
      </c>
    </row>
    <row r="102" customFormat="false" ht="18" hidden="false" customHeight="false" outlineLevel="0" collapsed="false">
      <c r="A102" s="27" t="s">
        <v>121</v>
      </c>
      <c r="AA102" s="12" t="n">
        <f aca="false">CEILING('Model inputs'!Z122,'Model inputs'!Z124)</f>
        <v>8500</v>
      </c>
    </row>
    <row r="103" customFormat="false" ht="18" hidden="false" customHeight="false" outlineLevel="0" collapsed="false">
      <c r="A103" s="27" t="s">
        <v>127</v>
      </c>
      <c r="Z103" s="19" t="n">
        <v>0</v>
      </c>
    </row>
    <row r="104" customFormat="false" ht="18" hidden="false" customHeight="false" outlineLevel="1" collapsed="false">
      <c r="A104" s="29" t="s">
        <v>300</v>
      </c>
      <c r="Z104" s="22" t="n">
        <f aca="false">'Gainsay drivers · Gainsay data-'!B5</f>
        <v>10000</v>
      </c>
    </row>
    <row r="105" customFormat="false" ht="18" hidden="false" customHeight="false" outlineLevel="1" collapsed="false">
      <c r="A105" s="29" t="s">
        <v>301</v>
      </c>
      <c r="Z105" s="22" t="n">
        <f aca="false">'Gainsay drivers · Gainsay data-'!B6</f>
        <v>3000</v>
      </c>
    </row>
    <row r="106" customFormat="false" ht="18" hidden="false" customHeight="false" outlineLevel="1" collapsed="false">
      <c r="A106" s="29" t="s">
        <v>302</v>
      </c>
      <c r="Z106" s="22" t="n">
        <f aca="false">'Gainsay drivers · Gainsay data-'!B7</f>
        <v>0</v>
      </c>
    </row>
    <row r="107" customFormat="false" ht="18" hidden="false" customHeight="false" outlineLevel="0" collapsed="false">
      <c r="A107" s="27" t="s">
        <v>127</v>
      </c>
      <c r="AA107" s="19" t="n">
        <v>0</v>
      </c>
    </row>
    <row r="108" customFormat="false" ht="18" hidden="false" customHeight="false" outlineLevel="1" collapsed="false">
      <c r="A108" s="29" t="s">
        <v>300</v>
      </c>
      <c r="AA108" s="22" t="n">
        <f aca="false">'Gainsay drivers · Gainsay data-'!B5</f>
        <v>10000</v>
      </c>
    </row>
    <row r="109" customFormat="false" ht="18" hidden="false" customHeight="false" outlineLevel="1" collapsed="false">
      <c r="A109" s="29" t="s">
        <v>301</v>
      </c>
      <c r="AA109" s="22" t="n">
        <f aca="false">'Gainsay drivers · Gainsay data-'!B6</f>
        <v>3000</v>
      </c>
    </row>
    <row r="110" customFormat="false" ht="18" hidden="false" customHeight="false" outlineLevel="1" collapsed="false">
      <c r="A110" s="29" t="s">
        <v>302</v>
      </c>
      <c r="AA110" s="22" t="n">
        <f aca="false">'Gainsay drivers · Gainsay data-'!B7</f>
        <v>0</v>
      </c>
    </row>
    <row r="111" customFormat="false" ht="18" hidden="false" customHeight="false" outlineLevel="0" collapsed="false">
      <c r="A111" s="27" t="s">
        <v>303</v>
      </c>
      <c r="Z111" s="12" t="n">
        <f aca="false">'Gainsay drivers · Gainsay fixed'!B16</f>
        <v>30</v>
      </c>
    </row>
    <row r="112" customFormat="false" ht="18" hidden="false" customHeight="false" outlineLevel="0" collapsed="false">
      <c r="A112" s="27" t="s">
        <v>304</v>
      </c>
      <c r="AA112" s="12" t="n">
        <f aca="false">'Gainsay drivers · Gainsay fixed'!B16</f>
        <v>30</v>
      </c>
    </row>
    <row r="113" customFormat="false" ht="18" hidden="false" customHeight="false" outlineLevel="0" collapsed="false">
      <c r="A113" s="27" t="s">
        <v>305</v>
      </c>
      <c r="B113" s="22" t="n">
        <v>0</v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f aca="false">(('Model inputs'!K6*'Model inputs'!Z77+'Model inputs'!K17)*'Model inputs'!Z27+'Model inputs'!Z57*'Model inputs'!Z25)*'Model inputs'!Z11/'Model inputs'!Z91+'Model inputs'!K6*'Model inputs'!Z93</f>
        <v>79.3157894736842</v>
      </c>
      <c r="L113" s="22" t="n">
        <f aca="false">(('Model inputs'!L6*'Model inputs'!Z77+'Model inputs'!L17)*'Model inputs'!Z27+'Model inputs'!Z57*'Model inputs'!Z25)*'Model inputs'!Z11/'Model inputs'!Z91+'Model inputs'!L6*'Model inputs'!Z93</f>
        <v>97.6192105263158</v>
      </c>
      <c r="M113" s="22" t="n">
        <f aca="false">(('Model inputs'!M6*'Model inputs'!Z77+'Model inputs'!M17)*'Model inputs'!Z27+'Model inputs'!Z57*'Model inputs'!Z25)*'Model inputs'!Z11/'Model inputs'!Z91+'Model inputs'!M6*'Model inputs'!Z93</f>
        <v>116.348463157895</v>
      </c>
      <c r="N113" s="22" t="n">
        <f aca="false">(('Model inputs'!N6*'Model inputs'!Z77+'Model inputs'!N17)*'Model inputs'!Z27+'Model inputs'!Z57*'Model inputs'!Z25)*'Model inputs'!Z11/'Model inputs'!Z91+'Model inputs'!N6*'Model inputs'!Z93</f>
        <v>135.539519131579</v>
      </c>
      <c r="O113" s="22" t="n">
        <f aca="false">(('Model inputs'!O6*'Model inputs'!Z77+'Model inputs'!O17)*'Model inputs'!Z27+'Model inputs'!Z57*'Model inputs'!Z25)*'Model inputs'!Z11/'Model inputs'!Z91+'Model inputs'!O6*'Model inputs'!Z93</f>
        <v>155.229708393158</v>
      </c>
      <c r="P113" s="22" t="n">
        <f aca="false">(('Model inputs'!P6*'Model inputs'!Z77+'Model inputs'!P17)*'Model inputs'!Z27+'Model inputs'!Z57*'Model inputs'!Z25)*'Model inputs'!Z11/'Model inputs'!Z91+'Model inputs'!P6*'Model inputs'!Z93</f>
        <v>175.45780019235</v>
      </c>
      <c r="Q113" s="22" t="n">
        <f aca="false">(('Model inputs'!Q6*'Model inputs'!Z77+'Model inputs'!Q17)*'Model inputs'!Z27+'Model inputs'!Z57*'Model inputs'!Z25)*'Model inputs'!Z11/'Model inputs'!Z91+'Model inputs'!Q6*'Model inputs'!Z93</f>
        <v>196.2640878638</v>
      </c>
      <c r="R113" s="22" t="n">
        <f aca="false">(('Model inputs'!R6*'Model inputs'!Z77+'Model inputs'!R17)*'Model inputs'!Z27+'Model inputs'!Z57*'Model inputs'!Z25)*'Model inputs'!Z11/'Model inputs'!Z91+'Model inputs'!R6*'Model inputs'!Z93</f>
        <v>217.690477462652</v>
      </c>
      <c r="S113" s="22" t="n">
        <f aca="false">(('Model inputs'!S6*'Model inputs'!Z77+'Model inputs'!S17)*'Model inputs'!Z27+'Model inputs'!Z57*'Model inputs'!Z25)*'Model inputs'!Z11/'Model inputs'!Z91+'Model inputs'!S6*'Model inputs'!Z93</f>
        <v>239.78058045896</v>
      </c>
      <c r="T113" s="22" t="n">
        <f aca="false">(('Model inputs'!T6*'Model inputs'!Z77+'Model inputs'!T17)*'Model inputs'!Z27+'Model inputs'!Z57*'Model inputs'!Z25)*'Model inputs'!Z11/'Model inputs'!Z91+'Model inputs'!T6*'Model inputs'!Z93</f>
        <v>262.579810705073</v>
      </c>
      <c r="U113" s="22" t="n">
        <f aca="false">(('Model inputs'!U6*'Model inputs'!Z77+'Model inputs'!U17)*'Model inputs'!Z27+'Model inputs'!Z57*'Model inputs'!Z25)*'Model inputs'!Z11/'Model inputs'!Z91+'Model inputs'!U6*'Model inputs'!Z93</f>
        <v>286.135485900481</v>
      </c>
      <c r="V113" s="22" t="n">
        <f aca="false">(('Model inputs'!V6*'Model inputs'!Z77+'Model inputs'!V17)*'Model inputs'!Z27+'Model inputs'!Z57*'Model inputs'!Z25)*'Model inputs'!Z11/'Model inputs'!Z91+'Model inputs'!V6*'Model inputs'!Z93</f>
        <v>310.496933789539</v>
      </c>
      <c r="W113" s="22" t="n">
        <f aca="false">(('Model inputs'!W6*'Model inputs'!Z77+'Model inputs'!W17)*'Model inputs'!Z27+'Model inputs'!Z57*'Model inputs'!Z25)*'Model inputs'!Z11/'Model inputs'!Z91+'Model inputs'!W6*'Model inputs'!Z93</f>
        <v>335.715603338913</v>
      </c>
      <c r="X113" s="22" t="n">
        <f aca="false">(('Model inputs'!X6*'Model inputs'!Z77+'Model inputs'!X17)*'Model inputs'!Z27+'Model inputs'!Z57*'Model inputs'!Z25)*'Model inputs'!Z11/'Model inputs'!Z91+'Model inputs'!X6*'Model inputs'!Z93</f>
        <v>361.845181153643</v>
      </c>
      <c r="Y113" s="22" t="n">
        <f aca="false">(('Model inputs'!Y6*'Model inputs'!Z77+'Model inputs'!Y17)*'Model inputs'!Z27+'Model inputs'!Z57*'Model inputs'!Z25)*'Model inputs'!Z11/'Model inputs'!Z91+'Model inputs'!Y6*'Model inputs'!Z93</f>
        <v>388.94171340336</v>
      </c>
    </row>
    <row r="114" customFormat="false" ht="18" hidden="false" customHeight="false" outlineLevel="0" collapsed="false">
      <c r="A114" s="27" t="s">
        <v>306</v>
      </c>
      <c r="B114" s="22" t="n">
        <v>0</v>
      </c>
      <c r="C114" s="22" t="n">
        <v>0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f aca="false">(('Model inputs'!K6*'Model inputs'!Z77+'Model inputs'!K17)*'Model inputs'!Z27+'Model inputs'!Z57*'Model inputs'!Z25)*'Model inputs'!AA71/'Model inputs'!Z91+'Model inputs'!K6*'Model inputs'!Z93</f>
        <v>33.5263157894737</v>
      </c>
      <c r="L114" s="22" t="n">
        <f aca="false">(('Model inputs'!L6*'Model inputs'!Z77+'Model inputs'!L17)*'Model inputs'!Z27+'Model inputs'!Z57*'Model inputs'!Z25)*'Model inputs'!AA71/'Model inputs'!Z91+'Model inputs'!L6*'Model inputs'!Z93</f>
        <v>42.6836842105263</v>
      </c>
      <c r="M114" s="22" t="n">
        <f aca="false">(('Model inputs'!M6*'Model inputs'!Z77+'Model inputs'!M17)*'Model inputs'!Z27+'Model inputs'!Z57*'Model inputs'!Z25)*'Model inputs'!AA71/'Model inputs'!Z91+'Model inputs'!M6*'Model inputs'!Z93</f>
        <v>52.0508052631579</v>
      </c>
      <c r="N114" s="22" t="n">
        <f aca="false">(('Model inputs'!N6*'Model inputs'!Z77+'Model inputs'!N17)*'Model inputs'!Z27+'Model inputs'!Z57*'Model inputs'!Z25)*'Model inputs'!AA71/'Model inputs'!Z91+'Model inputs'!N6*'Model inputs'!Z93</f>
        <v>61.6456100526316</v>
      </c>
      <c r="O114" s="22" t="n">
        <f aca="false">(('Model inputs'!O6*'Model inputs'!Z77+'Model inputs'!O17)*'Model inputs'!Z27+'Model inputs'!Z57*'Model inputs'!Z25)*'Model inputs'!AA71/'Model inputs'!Z91+'Model inputs'!O6*'Model inputs'!Z93</f>
        <v>71.4867029352632</v>
      </c>
      <c r="P114" s="22" t="n">
        <f aca="false">(('Model inputs'!P6*'Model inputs'!Z77+'Model inputs'!P17)*'Model inputs'!Z27+'Model inputs'!Z57*'Model inputs'!Z25)*'Model inputs'!AA71/'Model inputs'!Z91+'Model inputs'!P6*'Model inputs'!Z93</f>
        <v>81.5934018801</v>
      </c>
      <c r="Q114" s="22" t="n">
        <f aca="false">(('Model inputs'!Q6*'Model inputs'!Z77+'Model inputs'!Q17)*'Model inputs'!Z27+'Model inputs'!Z57*'Model inputs'!Z25)*'Model inputs'!AA71/'Model inputs'!Z91+'Model inputs'!Q6*'Model inputs'!Z93</f>
        <v>91.9857806477102</v>
      </c>
      <c r="R114" s="22" t="n">
        <f aca="false">(('Model inputs'!R6*'Model inputs'!Z77+'Model inputs'!R17)*'Model inputs'!Z27+'Model inputs'!Z57*'Model inputs'!Z25)*'Model inputs'!AA71/'Model inputs'!Z91+'Model inputs'!R6*'Model inputs'!Z93</f>
        <v>102.684712882966</v>
      </c>
      <c r="S114" s="22" t="n">
        <f aca="false">(('Model inputs'!S6*'Model inputs'!Z77+'Model inputs'!S17)*'Model inputs'!Z27+'Model inputs'!Z57*'Model inputs'!Z25)*'Model inputs'!AA71/'Model inputs'!Z91+'Model inputs'!S6*'Model inputs'!Z93</f>
        <v>113.711918223373</v>
      </c>
      <c r="T114" s="22" t="n">
        <f aca="false">(('Model inputs'!T6*'Model inputs'!Z77+'Model inputs'!T17)*'Model inputs'!Z27+'Model inputs'!Z57*'Model inputs'!Z25)*'Model inputs'!AA71/'Model inputs'!Z91+'Model inputs'!T6*'Model inputs'!Z93</f>
        <v>125.090010529386</v>
      </c>
      <c r="U114" s="22" t="n">
        <f aca="false">(('Model inputs'!U6*'Model inputs'!Z77+'Model inputs'!U17)*'Model inputs'!Z27+'Model inputs'!Z57*'Model inputs'!Z25)*'Model inputs'!AA71/'Model inputs'!Z91+'Model inputs'!U6*'Model inputs'!Z93</f>
        <v>136.842548348328</v>
      </c>
      <c r="V114" s="22" t="n">
        <f aca="false">(('Model inputs'!V6*'Model inputs'!Z77+'Model inputs'!V17)*'Model inputs'!Z27+'Model inputs'!Z57*'Model inputs'!Z25)*'Model inputs'!AA71/'Model inputs'!Z91+'Model inputs'!V6*'Model inputs'!Z93</f>
        <v>148.994087728916</v>
      </c>
      <c r="W114" s="22" t="n">
        <f aca="false">(('Model inputs'!W6*'Model inputs'!Z77+'Model inputs'!W17)*'Model inputs'!Z27+'Model inputs'!Z57*'Model inputs'!Z25)*'Model inputs'!AA71/'Model inputs'!Z91+'Model inputs'!W6*'Model inputs'!Z93</f>
        <v>161.570237509112</v>
      </c>
      <c r="X114" s="22" t="n">
        <f aca="false">(('Model inputs'!X6*'Model inputs'!Z77+'Model inputs'!X17)*'Model inputs'!Z27+'Model inputs'!Z57*'Model inputs'!Z25)*'Model inputs'!AA71/'Model inputs'!Z91+'Model inputs'!X6*'Model inputs'!Z93</f>
        <v>174.59771720598</v>
      </c>
      <c r="Y114" s="22" t="n">
        <f aca="false">(('Model inputs'!Y6*'Model inputs'!Z77+'Model inputs'!Y17)*'Model inputs'!Z27+'Model inputs'!Z57*'Model inputs'!Z25)*'Model inputs'!AA71/'Model inputs'!Z91+'Model inputs'!Y6*'Model inputs'!Z93</f>
        <v>188.104417642522</v>
      </c>
    </row>
    <row r="115" customFormat="false" ht="18" hidden="false" customHeight="false" outlineLevel="0" collapsed="false">
      <c r="A115" s="27" t="s">
        <v>307</v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f aca="false">IF('Model inputs'!K134="","",'Model inputs'!K134)</f>
        <v>9.033</v>
      </c>
      <c r="L115" s="12" t="n">
        <f aca="false">IF('Model inputs'!L134="","",'Model inputs'!L134)</f>
        <v>12.80496</v>
      </c>
      <c r="M115" s="12" t="n">
        <f aca="false">IF('Model inputs'!M134="","",'Model inputs'!M134)</f>
        <v>16.6659087</v>
      </c>
      <c r="N115" s="12" t="n">
        <f aca="false">IF('Model inputs'!N134="","",'Model inputs'!N134)</f>
        <v>20.623283814</v>
      </c>
      <c r="O115" s="12" t="n">
        <f aca="false">IF('Model inputs'!O134="","",'Model inputs'!O134)</f>
        <v>24.68480529333</v>
      </c>
      <c r="P115" s="12" t="n">
        <f aca="false">IF('Model inputs'!P134="","",'Model inputs'!P134)</f>
        <v>28.8584921279676</v>
      </c>
      <c r="Q115" s="12" t="n">
        <f aca="false">IF('Model inputs'!Q134="","",'Model inputs'!Q134)</f>
        <v>33.152679907238</v>
      </c>
      <c r="R115" s="12" t="n">
        <f aca="false">IF('Model inputs'!R134="","",'Model inputs'!R134)</f>
        <v>37.5760391802857</v>
      </c>
      <c r="S115" s="12" t="n">
        <f aca="false">IF('Model inputs'!S134="","",'Model inputs'!S134)</f>
        <v>42.1375946586552</v>
      </c>
      <c r="T115" s="12" t="n">
        <f aca="false">IF('Model inputs'!T134="","",'Model inputs'!T134)</f>
        <v>46.8467453053625</v>
      </c>
      <c r="U115" s="12" t="n">
        <f aca="false">IF('Model inputs'!U134="","",'Model inputs'!U134)</f>
        <v>51.713285356992</v>
      </c>
      <c r="V115" s="12" t="n">
        <f aca="false">IF('Model inputs'!V134="","",'Model inputs'!V134)</f>
        <v>56.7474263276121</v>
      </c>
      <c r="W115" s="12" t="n">
        <f aca="false">IF('Model inputs'!W134="","",'Model inputs'!W134)</f>
        <v>61.9598200456801</v>
      </c>
      <c r="X115" s="12" t="n">
        <f aca="false">IF('Model inputs'!X134="","",'Model inputs'!X134)</f>
        <v>67.3615827776009</v>
      </c>
      <c r="Y115" s="12" t="n">
        <f aca="false">IF('Model inputs'!Y134="","",'Model inputs'!Y134)</f>
        <v>72.9643204942286</v>
      </c>
    </row>
    <row r="116" customFormat="false" ht="18" hidden="false" customHeight="false" outlineLevel="0" collapsed="false">
      <c r="A116" s="27" t="s">
        <v>308</v>
      </c>
      <c r="B116" s="12" t="n">
        <v>0</v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f aca="false">'Model inputs'!K133+'Model inputs'!K130</f>
        <v>30.16</v>
      </c>
      <c r="L116" s="12" t="n">
        <f aca="false">'Model inputs'!L133+'Model inputs'!L130</f>
        <v>36.1842</v>
      </c>
      <c r="M116" s="12" t="n">
        <f aca="false">'Model inputs'!M133+'Model inputs'!M130</f>
        <v>42.350724</v>
      </c>
      <c r="N116" s="12" t="n">
        <f aca="false">'Model inputs'!N133+'Model inputs'!N130</f>
        <v>48.67145478</v>
      </c>
      <c r="O116" s="12" t="n">
        <f aca="false">'Model inputs'!O133+'Model inputs'!O130</f>
        <v>55.1587262616</v>
      </c>
      <c r="P116" s="12" t="n">
        <f aca="false">'Model inputs'!P133+'Model inputs'!P130</f>
        <v>61.825350355002</v>
      </c>
      <c r="Q116" s="12" t="n">
        <f aca="false">'Model inputs'!Q133+'Model inputs'!Q130</f>
        <v>68.6846450196644</v>
      </c>
      <c r="R116" s="12" t="n">
        <f aca="false">'Model inputs'!R133+'Model inputs'!R130</f>
        <v>75.7504636031526</v>
      </c>
      <c r="S116" s="12" t="n">
        <f aca="false">'Model inputs'!S133+'Model inputs'!S130</f>
        <v>83.0372255258401</v>
      </c>
      <c r="T116" s="12" t="n">
        <f aca="false">'Model inputs'!T133+'Model inputs'!T130</f>
        <v>90.559948382386</v>
      </c>
      <c r="U116" s="12" t="n">
        <f aca="false">'Model inputs'!U133+'Model inputs'!U130</f>
        <v>98.3342815343517</v>
      </c>
      <c r="V116" s="12" t="n">
        <f aca="false">'Model inputs'!V133+'Model inputs'!V130</f>
        <v>106.37654127193</v>
      </c>
      <c r="W116" s="12" t="n">
        <f aca="false">'Model inputs'!W133+'Model inputs'!W130</f>
        <v>114.703747626562</v>
      </c>
      <c r="X116" s="12" t="n">
        <f aca="false">'Model inputs'!X133+'Model inputs'!X130</f>
        <v>123.333662920194</v>
      </c>
      <c r="Y116" s="12" t="n">
        <f aca="false">'Model inputs'!Y133+'Model inputs'!Y130</f>
        <v>132.284832141139</v>
      </c>
    </row>
    <row r="117" customFormat="false" ht="18" hidden="false" customHeight="false" outlineLevel="0" collapsed="false">
      <c r="A117" s="27" t="s">
        <v>309</v>
      </c>
      <c r="AA117" s="22" t="n">
        <f aca="false">'Gainsay drivers · Gainsay fixed'!B13</f>
        <v>125</v>
      </c>
    </row>
    <row r="118" customFormat="false" ht="18" hidden="false" customHeight="false" outlineLevel="0" collapsed="false">
      <c r="A118" s="27" t="s">
        <v>310</v>
      </c>
      <c r="B118" s="12" t="n">
        <v>0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f aca="false">'Model inputs'!Z49-'Model inputs'!K130+'Model inputs'!K125+'Model inputs'!K135</f>
        <v>995</v>
      </c>
      <c r="L118" s="12" t="n">
        <f aca="false">'Model inputs'!Z49-'Model inputs'!L130+'Model inputs'!L125+'Model inputs'!L135</f>
        <v>995</v>
      </c>
      <c r="M118" s="12" t="n">
        <f aca="false">'Model inputs'!Z49-'Model inputs'!M130+'Model inputs'!M125+'Model inputs'!M135</f>
        <v>995</v>
      </c>
      <c r="N118" s="12" t="n">
        <f aca="false">'Model inputs'!Z49-'Model inputs'!N130+'Model inputs'!N125+'Model inputs'!N135</f>
        <v>995</v>
      </c>
      <c r="O118" s="12" t="n">
        <f aca="false">'Model inputs'!Z49-'Model inputs'!O130+'Model inputs'!O125+'Model inputs'!O135</f>
        <v>995</v>
      </c>
      <c r="P118" s="12" t="n">
        <f aca="false">'Model inputs'!Z49-'Model inputs'!P130+'Model inputs'!P125+'Model inputs'!P135</f>
        <v>995</v>
      </c>
      <c r="Q118" s="12" t="n">
        <f aca="false">'Model inputs'!Z49-'Model inputs'!Q130+'Model inputs'!Q125+'Model inputs'!Q135</f>
        <v>995</v>
      </c>
      <c r="R118" s="12" t="n">
        <f aca="false">'Model inputs'!Z49-'Model inputs'!R130+'Model inputs'!R125+'Model inputs'!R135</f>
        <v>995</v>
      </c>
      <c r="S118" s="12" t="n">
        <f aca="false">'Model inputs'!Z49-'Model inputs'!S130+'Model inputs'!S125+'Model inputs'!S135</f>
        <v>995</v>
      </c>
      <c r="T118" s="12" t="n">
        <f aca="false">'Model inputs'!Z49-'Model inputs'!T130+'Model inputs'!T125+'Model inputs'!T135</f>
        <v>995</v>
      </c>
      <c r="U118" s="12" t="n">
        <f aca="false">'Model inputs'!Z49-'Model inputs'!U130+'Model inputs'!U125+'Model inputs'!U135</f>
        <v>995</v>
      </c>
      <c r="V118" s="12" t="n">
        <f aca="false">'Model inputs'!Z49-'Model inputs'!V130+'Model inputs'!V125+'Model inputs'!V135</f>
        <v>995</v>
      </c>
      <c r="W118" s="12" t="n">
        <f aca="false">'Model inputs'!Z49-'Model inputs'!W130+'Model inputs'!W125+'Model inputs'!W135</f>
        <v>995</v>
      </c>
      <c r="X118" s="12" t="n">
        <f aca="false">'Model inputs'!Z49-'Model inputs'!X130+'Model inputs'!X125+'Model inputs'!X135</f>
        <v>995</v>
      </c>
      <c r="Y118" s="12" t="n">
        <f aca="false">'Model inputs'!Z49-'Model inputs'!Y130+'Model inputs'!Y125+'Model inputs'!Y135</f>
        <v>1395</v>
      </c>
    </row>
    <row r="119" customFormat="false" ht="18" hidden="false" customHeight="false" outlineLevel="0" collapsed="false">
      <c r="A119" s="27" t="s">
        <v>311</v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f aca="false">'Model inputs'!K128+'Model inputs'!K20</f>
        <v>177</v>
      </c>
      <c r="L119" s="12" t="n">
        <f aca="false">'Model inputs'!L128+'Model inputs'!L20</f>
        <v>270.24</v>
      </c>
      <c r="M119" s="12" t="n">
        <f aca="false">'Model inputs'!M128+'Model inputs'!M20</f>
        <v>365.6103</v>
      </c>
      <c r="N119" s="12" t="n">
        <f aca="false">'Model inputs'!N128+'Model inputs'!N20</f>
        <v>463.293366</v>
      </c>
      <c r="O119" s="12" t="n">
        <f aca="false">'Model inputs'!O128+'Model inputs'!O20</f>
        <v>563.47850877</v>
      </c>
      <c r="P119" s="12" t="n">
        <f aca="false">'Model inputs'!P128+'Model inputs'!P20</f>
        <v>666.3622944444</v>
      </c>
      <c r="Q119" s="12" t="n">
        <f aca="false">'Model inputs'!Q128+'Model inputs'!Q20</f>
        <v>772.148973595443</v>
      </c>
      <c r="R119" s="12" t="n">
        <f aca="false">'Model inputs'!R128+'Model inputs'!R20</f>
        <v>881.050929771174</v>
      </c>
      <c r="S119" s="12" t="n">
        <f aca="false">'Model inputs'!S128+'Model inputs'!S20</f>
        <v>993.289148530812</v>
      </c>
      <c r="T119" s="12" t="n">
        <f aca="false">'Model inputs'!T128+'Model inputs'!T20</f>
        <v>1109.0937080603</v>
      </c>
      <c r="U119" s="12" t="n">
        <f aca="false">'Model inputs'!U128+'Model inputs'!U20</f>
        <v>1228.70429250317</v>
      </c>
      <c r="V119" s="12" t="n">
        <f aca="false">'Model inputs'!V128+'Model inputs'!V20</f>
        <v>1352.370729197</v>
      </c>
      <c r="W119" s="12" t="n">
        <f aca="false">'Model inputs'!W128+'Model inputs'!W20</f>
        <v>1480.35355106345</v>
      </c>
      <c r="X119" s="12" t="n">
        <f aca="false">'Model inputs'!X128+'Model inputs'!X20</f>
        <v>1612.92458546103</v>
      </c>
      <c r="Y119" s="12" t="n">
        <f aca="false">'Model inputs'!Y128+'Model inputs'!Y20</f>
        <v>1750.36757087315</v>
      </c>
    </row>
    <row r="120" customFormat="false" ht="18" hidden="false" customHeight="false" outlineLevel="0" collapsed="false">
      <c r="A120" s="27" t="s">
        <v>312</v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f aca="false">'Model inputs'!K164+'Model inputs'!K21</f>
        <v>74</v>
      </c>
      <c r="L120" s="12" t="n">
        <f aca="false">'Model inputs'!L164+'Model inputs'!L21</f>
        <v>101.55</v>
      </c>
      <c r="M120" s="12" t="n">
        <f aca="false">'Model inputs'!M164+'Model inputs'!M21</f>
        <v>127.7225</v>
      </c>
      <c r="N120" s="12" t="n">
        <f aca="false">'Model inputs'!N164+'Model inputs'!N21</f>
        <v>152.586375</v>
      </c>
      <c r="O120" s="12" t="n">
        <f aca="false">'Model inputs'!O164+'Model inputs'!O21</f>
        <v>176.20705625</v>
      </c>
      <c r="P120" s="12" t="n">
        <f aca="false">'Model inputs'!P164+'Model inputs'!P21</f>
        <v>198.6467034375</v>
      </c>
      <c r="Q120" s="12" t="n">
        <f aca="false">'Model inputs'!Q164+'Model inputs'!Q21</f>
        <v>219.964368265625</v>
      </c>
      <c r="R120" s="12" t="n">
        <f aca="false">'Model inputs'!R164+'Model inputs'!R21</f>
        <v>240.216149852344</v>
      </c>
      <c r="S120" s="12" t="n">
        <f aca="false">'Model inputs'!S164+'Model inputs'!S21</f>
        <v>259.455342359727</v>
      </c>
      <c r="T120" s="12" t="n">
        <f aca="false">'Model inputs'!T164+'Model inputs'!T21</f>
        <v>277.73257524174</v>
      </c>
      <c r="U120" s="12" t="n">
        <f aca="false">'Model inputs'!U164+'Model inputs'!U21</f>
        <v>295.095946479653</v>
      </c>
      <c r="V120" s="12" t="n">
        <f aca="false">'Model inputs'!V164+'Model inputs'!V21</f>
        <v>311.591149155671</v>
      </c>
      <c r="W120" s="12" t="n">
        <f aca="false">'Model inputs'!W164+'Model inputs'!W21</f>
        <v>327.261591697887</v>
      </c>
      <c r="X120" s="12" t="n">
        <f aca="false">'Model inputs'!X164+'Model inputs'!X21</f>
        <v>342.148512112993</v>
      </c>
      <c r="Y120" s="12" t="n">
        <f aca="false">'Model inputs'!Y164+'Model inputs'!Y21</f>
        <v>356.291086507343</v>
      </c>
    </row>
    <row r="121" customFormat="false" ht="18" hidden="false" customHeight="false" outlineLevel="0" collapsed="false">
      <c r="A121" s="27" t="s">
        <v>313</v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f aca="false">'Model inputs'!K165+'Model inputs'!K22</f>
        <v>412</v>
      </c>
      <c r="L121" s="12" t="n">
        <f aca="false">'Model inputs'!L165+'Model inputs'!L22</f>
        <v>680.56</v>
      </c>
      <c r="M121" s="12" t="n">
        <f aca="false">'Model inputs'!M165+'Model inputs'!M22</f>
        <v>971.4288</v>
      </c>
      <c r="N121" s="12" t="n">
        <f aca="false">'Model inputs'!N165+'Model inputs'!N22</f>
        <v>1286.928224</v>
      </c>
      <c r="O121" s="12" t="n">
        <f aca="false">'Model inputs'!O165+'Model inputs'!O22</f>
        <v>1629.61045952</v>
      </c>
      <c r="P121" s="12" t="n">
        <f aca="false">'Model inputs'!P165+'Model inputs'!P22</f>
        <v>2002.2811303296</v>
      </c>
      <c r="Q121" s="12" t="n">
        <f aca="false">'Model inputs'!Q165+'Model inputs'!Q22</f>
        <v>2408.02467572301</v>
      </c>
      <c r="R121" s="12" t="n">
        <f aca="false">'Model inputs'!R165+'Model inputs'!R22</f>
        <v>2850.23226700855</v>
      </c>
      <c r="S121" s="12" t="n">
        <f aca="false">'Model inputs'!S165+'Model inputs'!S22</f>
        <v>3332.63251494838</v>
      </c>
      <c r="T121" s="12" t="n">
        <f aca="false">'Model inputs'!T165+'Model inputs'!T22</f>
        <v>3859.32524725741</v>
      </c>
      <c r="U121" s="12" t="n">
        <f aca="false">'Model inputs'!U165+'Model inputs'!U22</f>
        <v>4434.81866318106</v>
      </c>
      <c r="V121" s="12" t="n">
        <f aca="false">'Model inputs'!V165+'Model inputs'!V22</f>
        <v>5064.07020287312</v>
      </c>
      <c r="W121" s="12" t="n">
        <f aca="false">'Model inputs'!W165+'Model inputs'!W22</f>
        <v>5752.53150306691</v>
      </c>
      <c r="X121" s="12" t="n">
        <f aca="false">'Model inputs'!X165+'Model inputs'!X22</f>
        <v>6506.19784768195</v>
      </c>
      <c r="Y121" s="12" t="n">
        <f aca="false">'Model inputs'!Y165+'Model inputs'!Y22</f>
        <v>7331.66256287232</v>
      </c>
    </row>
    <row r="122" customFormat="false" ht="18" hidden="false" customHeight="false" outlineLevel="0" collapsed="false">
      <c r="A122" s="27" t="s">
        <v>314</v>
      </c>
      <c r="Z122" s="12" t="n">
        <f aca="false">'Model inputs'!Z79+'Model inputs'!Z136-'Model inputs'!Z131</f>
        <v>8084.99901774236</v>
      </c>
    </row>
    <row r="123" customFormat="false" ht="18" hidden="false" customHeight="false" outlineLevel="0" collapsed="false">
      <c r="A123" s="27" t="s">
        <v>315</v>
      </c>
      <c r="B123" s="22" t="n">
        <v>0</v>
      </c>
      <c r="C123" s="22" t="n">
        <v>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f aca="false">'Gainsay drivers · Gainsay deman'!B9</f>
        <v>0.05</v>
      </c>
      <c r="L123" s="22" t="n">
        <f aca="false">IF('Model inputs'!K123="","",'Model inputs'!K123)</f>
        <v>0.05</v>
      </c>
      <c r="M123" s="22" t="n">
        <f aca="false">IF('Model inputs'!L123="","",'Model inputs'!L123)</f>
        <v>0.05</v>
      </c>
      <c r="N123" s="22" t="n">
        <f aca="false">IF('Model inputs'!M123="","",'Model inputs'!M123)</f>
        <v>0.05</v>
      </c>
      <c r="O123" s="22" t="n">
        <f aca="false">IF('Model inputs'!N123="","",'Model inputs'!N123)</f>
        <v>0.05</v>
      </c>
      <c r="P123" s="22" t="n">
        <f aca="false">IF('Model inputs'!O123="","",'Model inputs'!O123)</f>
        <v>0.05</v>
      </c>
      <c r="Q123" s="22" t="n">
        <f aca="false">IF('Model inputs'!P123="","",'Model inputs'!P123)</f>
        <v>0.05</v>
      </c>
      <c r="R123" s="22" t="n">
        <f aca="false">IF('Model inputs'!Q123="","",'Model inputs'!Q123)</f>
        <v>0.05</v>
      </c>
      <c r="S123" s="22" t="n">
        <f aca="false">IF('Model inputs'!R123="","",'Model inputs'!R123)</f>
        <v>0.05</v>
      </c>
      <c r="T123" s="22" t="n">
        <f aca="false">IF('Model inputs'!S123="","",'Model inputs'!S123)</f>
        <v>0.05</v>
      </c>
      <c r="U123" s="22" t="n">
        <f aca="false">IF('Model inputs'!T123="","",'Model inputs'!T123)</f>
        <v>0.05</v>
      </c>
      <c r="V123" s="22" t="n">
        <f aca="false">IF('Model inputs'!U123="","",'Model inputs'!U123)</f>
        <v>0.05</v>
      </c>
      <c r="W123" s="22" t="n">
        <f aca="false">IF('Model inputs'!V123="","",'Model inputs'!V123)</f>
        <v>0.05</v>
      </c>
      <c r="X123" s="22" t="n">
        <f aca="false">IF('Model inputs'!W123="","",'Model inputs'!W123)</f>
        <v>0.05</v>
      </c>
      <c r="Y123" s="22" t="n">
        <f aca="false">IF('Model inputs'!X123="","",'Model inputs'!X123)</f>
        <v>0.05</v>
      </c>
    </row>
    <row r="124" customFormat="false" ht="18" hidden="false" customHeight="false" outlineLevel="0" collapsed="false">
      <c r="A124" s="27" t="s">
        <v>316</v>
      </c>
      <c r="Z124" s="22" t="n">
        <f aca="false">'Gainsay drivers · Gainsay fixed'!B33</f>
        <v>500</v>
      </c>
    </row>
    <row r="125" customFormat="false" ht="18" hidden="false" customHeight="false" outlineLevel="0" collapsed="false">
      <c r="A125" s="27" t="s">
        <v>317</v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f aca="false">IF(IF(IF(ISERROR('Model inputs'!K40&gt;='Model inputs'!Z137),'Model inputs'!K40&gt;='Model inputs'!Z137,IF(OR('Model inputs'!K40="",'Model inputs'!Z137=""),"",'Model inputs'!K40&gt;='Model inputs'!Z137))="",FALSE(),IF(ISERROR('Model inputs'!K40&gt;='Model inputs'!Z137),'Model inputs'!K40&gt;='Model inputs'!Z137,IF(OR('Model inputs'!K40="",'Model inputs'!Z137=""),"",'Model inputs'!K40&gt;='Model inputs'!Z137))),IF('Model inputs'!Z139="","",'Model inputs'!Z139),0)</f>
        <v>0</v>
      </c>
      <c r="L125" s="12" t="n">
        <f aca="false">IF(IF(IF(ISERROR('Model inputs'!L40&gt;='Model inputs'!Z137),'Model inputs'!L40&gt;='Model inputs'!Z137,IF(OR('Model inputs'!L40="",'Model inputs'!Z137=""),"",'Model inputs'!L40&gt;='Model inputs'!Z137))="",FALSE(),IF(ISERROR('Model inputs'!L40&gt;='Model inputs'!Z137),'Model inputs'!L40&gt;='Model inputs'!Z137,IF(OR('Model inputs'!L40="",'Model inputs'!Z137=""),"",'Model inputs'!L40&gt;='Model inputs'!Z137))),IF('Model inputs'!Z139="","",'Model inputs'!Z139),0)</f>
        <v>0</v>
      </c>
      <c r="M125" s="12" t="n">
        <f aca="false">IF(IF(IF(ISERROR('Model inputs'!M40&gt;='Model inputs'!Z137),'Model inputs'!M40&gt;='Model inputs'!Z137,IF(OR('Model inputs'!M40="",'Model inputs'!Z137=""),"",'Model inputs'!M40&gt;='Model inputs'!Z137))="",FALSE(),IF(ISERROR('Model inputs'!M40&gt;='Model inputs'!Z137),'Model inputs'!M40&gt;='Model inputs'!Z137,IF(OR('Model inputs'!M40="",'Model inputs'!Z137=""),"",'Model inputs'!M40&gt;='Model inputs'!Z137))),IF('Model inputs'!Z139="","",'Model inputs'!Z139),0)</f>
        <v>0</v>
      </c>
      <c r="N125" s="12" t="n">
        <f aca="false">IF(IF(IF(ISERROR('Model inputs'!N40&gt;='Model inputs'!Z137),'Model inputs'!N40&gt;='Model inputs'!Z137,IF(OR('Model inputs'!N40="",'Model inputs'!Z137=""),"",'Model inputs'!N40&gt;='Model inputs'!Z137))="",FALSE(),IF(ISERROR('Model inputs'!N40&gt;='Model inputs'!Z137),'Model inputs'!N40&gt;='Model inputs'!Z137,IF(OR('Model inputs'!N40="",'Model inputs'!Z137=""),"",'Model inputs'!N40&gt;='Model inputs'!Z137))),IF('Model inputs'!Z139="","",'Model inputs'!Z139),0)</f>
        <v>0</v>
      </c>
      <c r="O125" s="12" t="n">
        <f aca="false">IF(IF(IF(ISERROR('Model inputs'!O40&gt;='Model inputs'!Z137),'Model inputs'!O40&gt;='Model inputs'!Z137,IF(OR('Model inputs'!O40="",'Model inputs'!Z137=""),"",'Model inputs'!O40&gt;='Model inputs'!Z137))="",FALSE(),IF(ISERROR('Model inputs'!O40&gt;='Model inputs'!Z137),'Model inputs'!O40&gt;='Model inputs'!Z137,IF(OR('Model inputs'!O40="",'Model inputs'!Z137=""),"",'Model inputs'!O40&gt;='Model inputs'!Z137))),IF('Model inputs'!Z139="","",'Model inputs'!Z139),0)</f>
        <v>0</v>
      </c>
      <c r="P125" s="12" t="n">
        <f aca="false">IF(IF(IF(ISERROR('Model inputs'!P40&gt;='Model inputs'!Z137),'Model inputs'!P40&gt;='Model inputs'!Z137,IF(OR('Model inputs'!P40="",'Model inputs'!Z137=""),"",'Model inputs'!P40&gt;='Model inputs'!Z137))="",FALSE(),IF(ISERROR('Model inputs'!P40&gt;='Model inputs'!Z137),'Model inputs'!P40&gt;='Model inputs'!Z137,IF(OR('Model inputs'!P40="",'Model inputs'!Z137=""),"",'Model inputs'!P40&gt;='Model inputs'!Z137))),IF('Model inputs'!Z139="","",'Model inputs'!Z139),0)</f>
        <v>0</v>
      </c>
      <c r="Q125" s="12" t="n">
        <f aca="false">IF(IF(IF(ISERROR('Model inputs'!Q40&gt;='Model inputs'!Z137),'Model inputs'!Q40&gt;='Model inputs'!Z137,IF(OR('Model inputs'!Q40="",'Model inputs'!Z137=""),"",'Model inputs'!Q40&gt;='Model inputs'!Z137))="",FALSE(),IF(ISERROR('Model inputs'!Q40&gt;='Model inputs'!Z137),'Model inputs'!Q40&gt;='Model inputs'!Z137,IF(OR('Model inputs'!Q40="",'Model inputs'!Z137=""),"",'Model inputs'!Q40&gt;='Model inputs'!Z137))),IF('Model inputs'!Z139="","",'Model inputs'!Z139),0)</f>
        <v>0</v>
      </c>
      <c r="R125" s="12" t="n">
        <f aca="false">IF(IF(IF(ISERROR('Model inputs'!R40&gt;='Model inputs'!Z137),'Model inputs'!R40&gt;='Model inputs'!Z137,IF(OR('Model inputs'!R40="",'Model inputs'!Z137=""),"",'Model inputs'!R40&gt;='Model inputs'!Z137))="",FALSE(),IF(ISERROR('Model inputs'!R40&gt;='Model inputs'!Z137),'Model inputs'!R40&gt;='Model inputs'!Z137,IF(OR('Model inputs'!R40="",'Model inputs'!Z137=""),"",'Model inputs'!R40&gt;='Model inputs'!Z137))),IF('Model inputs'!Z139="","",'Model inputs'!Z139),0)</f>
        <v>0</v>
      </c>
      <c r="S125" s="12" t="n">
        <f aca="false">IF(IF(IF(ISERROR('Model inputs'!S40&gt;='Model inputs'!Z137),'Model inputs'!S40&gt;='Model inputs'!Z137,IF(OR('Model inputs'!S40="",'Model inputs'!Z137=""),"",'Model inputs'!S40&gt;='Model inputs'!Z137))="",FALSE(),IF(ISERROR('Model inputs'!S40&gt;='Model inputs'!Z137),'Model inputs'!S40&gt;='Model inputs'!Z137,IF(OR('Model inputs'!S40="",'Model inputs'!Z137=""),"",'Model inputs'!S40&gt;='Model inputs'!Z137))),IF('Model inputs'!Z139="","",'Model inputs'!Z139),0)</f>
        <v>0</v>
      </c>
      <c r="T125" s="12" t="n">
        <f aca="false">IF(IF(IF(ISERROR('Model inputs'!T40&gt;='Model inputs'!Z137),'Model inputs'!T40&gt;='Model inputs'!Z137,IF(OR('Model inputs'!T40="",'Model inputs'!Z137=""),"",'Model inputs'!T40&gt;='Model inputs'!Z137))="",FALSE(),IF(ISERROR('Model inputs'!T40&gt;='Model inputs'!Z137),'Model inputs'!T40&gt;='Model inputs'!Z137,IF(OR('Model inputs'!T40="",'Model inputs'!Z137=""),"",'Model inputs'!T40&gt;='Model inputs'!Z137))),IF('Model inputs'!Z139="","",'Model inputs'!Z139),0)</f>
        <v>0</v>
      </c>
      <c r="U125" s="12" t="n">
        <f aca="false">IF(IF(IF(ISERROR('Model inputs'!U40&gt;='Model inputs'!Z137),'Model inputs'!U40&gt;='Model inputs'!Z137,IF(OR('Model inputs'!U40="",'Model inputs'!Z137=""),"",'Model inputs'!U40&gt;='Model inputs'!Z137))="",FALSE(),IF(ISERROR('Model inputs'!U40&gt;='Model inputs'!Z137),'Model inputs'!U40&gt;='Model inputs'!Z137,IF(OR('Model inputs'!U40="",'Model inputs'!Z137=""),"",'Model inputs'!U40&gt;='Model inputs'!Z137))),IF('Model inputs'!Z139="","",'Model inputs'!Z139),0)</f>
        <v>0</v>
      </c>
      <c r="V125" s="12" t="n">
        <f aca="false">IF(IF(IF(ISERROR('Model inputs'!V40&gt;='Model inputs'!Z137),'Model inputs'!V40&gt;='Model inputs'!Z137,IF(OR('Model inputs'!V40="",'Model inputs'!Z137=""),"",'Model inputs'!V40&gt;='Model inputs'!Z137))="",FALSE(),IF(ISERROR('Model inputs'!V40&gt;='Model inputs'!Z137),'Model inputs'!V40&gt;='Model inputs'!Z137,IF(OR('Model inputs'!V40="",'Model inputs'!Z137=""),"",'Model inputs'!V40&gt;='Model inputs'!Z137))),IF('Model inputs'!Z139="","",'Model inputs'!Z139),0)</f>
        <v>0</v>
      </c>
      <c r="W125" s="12" t="n">
        <f aca="false">IF(IF(IF(ISERROR('Model inputs'!W40&gt;='Model inputs'!Z137),'Model inputs'!W40&gt;='Model inputs'!Z137,IF(OR('Model inputs'!W40="",'Model inputs'!Z137=""),"",'Model inputs'!W40&gt;='Model inputs'!Z137))="",FALSE(),IF(ISERROR('Model inputs'!W40&gt;='Model inputs'!Z137),'Model inputs'!W40&gt;='Model inputs'!Z137,IF(OR('Model inputs'!W40="",'Model inputs'!Z137=""),"",'Model inputs'!W40&gt;='Model inputs'!Z137))),IF('Model inputs'!Z139="","",'Model inputs'!Z139),0)</f>
        <v>0</v>
      </c>
      <c r="X125" s="12" t="n">
        <f aca="false">IF(IF(IF(ISERROR('Model inputs'!X40&gt;='Model inputs'!Z137),'Model inputs'!X40&gt;='Model inputs'!Z137,IF(OR('Model inputs'!X40="",'Model inputs'!Z137=""),"",'Model inputs'!X40&gt;='Model inputs'!Z137))="",FALSE(),IF(ISERROR('Model inputs'!X40&gt;='Model inputs'!Z137),'Model inputs'!X40&gt;='Model inputs'!Z137,IF(OR('Model inputs'!X40="",'Model inputs'!Z137=""),"",'Model inputs'!X40&gt;='Model inputs'!Z137))),IF('Model inputs'!Z139="","",'Model inputs'!Z139),0)</f>
        <v>0</v>
      </c>
      <c r="Y125" s="12" t="n">
        <f aca="false">IF(IF(IF(ISERROR('Model inputs'!Y40&gt;='Model inputs'!Z137),'Model inputs'!Y40&gt;='Model inputs'!Z137,IF(OR('Model inputs'!Y40="",'Model inputs'!Z137=""),"",'Model inputs'!Y40&gt;='Model inputs'!Z137))="",FALSE(),IF(ISERROR('Model inputs'!Y40&gt;='Model inputs'!Z137),'Model inputs'!Y40&gt;='Model inputs'!Z137,IF(OR('Model inputs'!Y40="",'Model inputs'!Z137=""),"",'Model inputs'!Y40&gt;='Model inputs'!Z137))),IF('Model inputs'!Z139="","",'Model inputs'!Z139),0)</f>
        <v>400</v>
      </c>
    </row>
    <row r="126" customFormat="false" ht="18" hidden="false" customHeight="false" outlineLevel="0" collapsed="false">
      <c r="A126" s="27" t="s">
        <v>318</v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f aca="false">IF(MONTH(DATE(2026,10,1))=10,IF('Model inputs'!Z9="","",'Model inputs'!Z9),0)</f>
        <v>3000</v>
      </c>
      <c r="L126" s="12" t="n">
        <f aca="false">IF(MONTH(DATE(2026,11,1))=10,IF('Model inputs'!Z9="","",'Model inputs'!Z9),0)</f>
        <v>0</v>
      </c>
      <c r="M126" s="12" t="n">
        <f aca="false">IF(MONTH(DATE(2026,12,1))=10,IF('Model inputs'!Z9="","",'Model inputs'!Z9),0)</f>
        <v>0</v>
      </c>
      <c r="N126" s="12" t="n">
        <f aca="false">IF(MONTH(DATE(2027,1,1))=10,IF('Model inputs'!Z9="","",'Model inputs'!Z9),0)</f>
        <v>0</v>
      </c>
      <c r="O126" s="12" t="n">
        <f aca="false">IF(MONTH(DATE(2027,2,1))=10,IF('Model inputs'!Z9="","",'Model inputs'!Z9),0)</f>
        <v>0</v>
      </c>
      <c r="P126" s="12" t="n">
        <f aca="false">IF(MONTH(DATE(2027,3,1))=10,IF('Model inputs'!Z9="","",'Model inputs'!Z9),0)</f>
        <v>0</v>
      </c>
      <c r="Q126" s="12" t="n">
        <f aca="false">IF(MONTH(DATE(2027,4,1))=10,IF('Model inputs'!Z9="","",'Model inputs'!Z9),0)</f>
        <v>0</v>
      </c>
      <c r="R126" s="12" t="n">
        <f aca="false">IF(MONTH(DATE(2027,5,1))=10,IF('Model inputs'!Z9="","",'Model inputs'!Z9),0)</f>
        <v>0</v>
      </c>
      <c r="S126" s="12" t="n">
        <f aca="false">IF(MONTH(DATE(2027,6,1))=10,IF('Model inputs'!Z9="","",'Model inputs'!Z9),0)</f>
        <v>0</v>
      </c>
      <c r="T126" s="12" t="n">
        <f aca="false">IF(MONTH(DATE(2027,7,1))=10,IF('Model inputs'!Z9="","",'Model inputs'!Z9),0)</f>
        <v>0</v>
      </c>
      <c r="U126" s="12" t="n">
        <f aca="false">IF(MONTH(DATE(2027,8,1))=10,IF('Model inputs'!Z9="","",'Model inputs'!Z9),0)</f>
        <v>0</v>
      </c>
      <c r="V126" s="12" t="n">
        <f aca="false">IF(MONTH(DATE(2027,9,1))=10,IF('Model inputs'!Z9="","",'Model inputs'!Z9),0)</f>
        <v>0</v>
      </c>
      <c r="W126" s="12" t="n">
        <f aca="false">IF(MONTH(DATE(2027,10,1))=10,IF('Model inputs'!Z9="","",'Model inputs'!Z9),0)</f>
        <v>3000</v>
      </c>
      <c r="X126" s="12" t="n">
        <f aca="false">IF(MONTH(DATE(2027,11,1))=10,IF('Model inputs'!Z9="","",'Model inputs'!Z9),0)</f>
        <v>0</v>
      </c>
      <c r="Y126" s="12" t="n">
        <f aca="false">IF(MONTH(DATE(2027,12,1))=10,IF('Model inputs'!Z9="","",'Model inputs'!Z9),0)</f>
        <v>0</v>
      </c>
    </row>
    <row r="127" customFormat="false" ht="18" hidden="false" customHeight="false" outlineLevel="0" collapsed="false">
      <c r="A127" s="27" t="s">
        <v>319</v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f aca="false">'Model inputs'!Z9/12</f>
        <v>250</v>
      </c>
      <c r="L127" s="12" t="n">
        <f aca="false">'Model inputs'!Z9/12</f>
        <v>250</v>
      </c>
      <c r="M127" s="12" t="n">
        <f aca="false">'Model inputs'!Z9/12</f>
        <v>250</v>
      </c>
      <c r="N127" s="12" t="n">
        <f aca="false">'Model inputs'!Z9/12</f>
        <v>250</v>
      </c>
      <c r="O127" s="12" t="n">
        <f aca="false">'Model inputs'!Z9/12</f>
        <v>250</v>
      </c>
      <c r="P127" s="12" t="n">
        <f aca="false">'Model inputs'!Z9/12</f>
        <v>250</v>
      </c>
      <c r="Q127" s="12" t="n">
        <f aca="false">'Model inputs'!Z9/12</f>
        <v>250</v>
      </c>
      <c r="R127" s="12" t="n">
        <f aca="false">'Model inputs'!Z9/12</f>
        <v>250</v>
      </c>
      <c r="S127" s="12" t="n">
        <f aca="false">'Model inputs'!Z9/12</f>
        <v>250</v>
      </c>
      <c r="T127" s="12" t="n">
        <f aca="false">'Model inputs'!Z9/12</f>
        <v>250</v>
      </c>
      <c r="U127" s="12" t="n">
        <f aca="false">'Model inputs'!Z9/12</f>
        <v>250</v>
      </c>
      <c r="V127" s="12" t="n">
        <f aca="false">'Model inputs'!Z9/12</f>
        <v>250</v>
      </c>
      <c r="W127" s="12" t="n">
        <f aca="false">'Model inputs'!Z9/12</f>
        <v>250</v>
      </c>
      <c r="X127" s="12" t="n">
        <f aca="false">'Model inputs'!Z9/12</f>
        <v>250</v>
      </c>
      <c r="Y127" s="12" t="n">
        <f aca="false">'Model inputs'!Z9/12</f>
        <v>250</v>
      </c>
    </row>
    <row r="128" customFormat="false" ht="18" hidden="false" customHeight="false" outlineLevel="0" collapsed="false">
      <c r="A128" s="27" t="s">
        <v>320</v>
      </c>
      <c r="B128" s="12" t="n">
        <v>0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f aca="false">'Model inputs'!K40*'Model inputs'!Z33</f>
        <v>87</v>
      </c>
      <c r="L128" s="12" t="n">
        <f aca="false">'Model inputs'!L40*'Model inputs'!Z33</f>
        <v>175.74</v>
      </c>
      <c r="M128" s="12" t="n">
        <f aca="false">'Model inputs'!M40*'Model inputs'!Z33</f>
        <v>266.3853</v>
      </c>
      <c r="N128" s="12" t="n">
        <f aca="false">'Model inputs'!N40*'Model inputs'!Z33</f>
        <v>359.107116</v>
      </c>
      <c r="O128" s="12" t="n">
        <f aca="false">'Model inputs'!O40*'Model inputs'!Z33</f>
        <v>454.08294627</v>
      </c>
      <c r="P128" s="12" t="n">
        <f aca="false">'Model inputs'!P40*'Model inputs'!Z33</f>
        <v>551.4969538194</v>
      </c>
      <c r="Q128" s="12" t="n">
        <f aca="false">'Model inputs'!Q40*'Model inputs'!Z33</f>
        <v>651.540365939193</v>
      </c>
      <c r="R128" s="12" t="n">
        <f aca="false">'Model inputs'!R40*'Model inputs'!Z33</f>
        <v>754.411891732111</v>
      </c>
      <c r="S128" s="12" t="n">
        <f aca="false">'Model inputs'!S40*'Model inputs'!Z33</f>
        <v>860.318158589796</v>
      </c>
      <c r="T128" s="12" t="n">
        <f aca="false">'Model inputs'!T40*'Model inputs'!Z33</f>
        <v>969.474168622233</v>
      </c>
      <c r="U128" s="12" t="n">
        <f aca="false">'Model inputs'!U40*'Model inputs'!Z33</f>
        <v>1082.1037760932</v>
      </c>
      <c r="V128" s="12" t="n">
        <f aca="false">'Model inputs'!V40*'Model inputs'!Z33</f>
        <v>1198.44018696653</v>
      </c>
      <c r="W128" s="12" t="n">
        <f aca="false">'Model inputs'!W40*'Model inputs'!Z33</f>
        <v>1318.72648172146</v>
      </c>
      <c r="X128" s="12" t="n">
        <f aca="false">'Model inputs'!X40*'Model inputs'!Z33</f>
        <v>1443.21616265193</v>
      </c>
      <c r="Y128" s="12" t="n">
        <f aca="false">'Model inputs'!Y40*'Model inputs'!Z33</f>
        <v>1572.1737269236</v>
      </c>
    </row>
    <row r="129" customFormat="false" ht="18" hidden="false" customHeight="false" outlineLevel="0" collapsed="false">
      <c r="A129" s="27" t="s">
        <v>321</v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f aca="false">IF('Model inputs'!Z51="","",'Model inputs'!Z51)</f>
        <v>500</v>
      </c>
      <c r="L129" s="12" t="n">
        <f aca="false">IF('Model inputs'!Z51="","",'Model inputs'!Z51)</f>
        <v>500</v>
      </c>
      <c r="M129" s="12" t="n">
        <f aca="false">IF('Model inputs'!Z51="","",'Model inputs'!Z51)</f>
        <v>500</v>
      </c>
      <c r="N129" s="12" t="n">
        <f aca="false">IF('Model inputs'!Z51="","",'Model inputs'!Z51)</f>
        <v>500</v>
      </c>
      <c r="O129" s="12" t="n">
        <f aca="false">IF('Model inputs'!Z51="","",'Model inputs'!Z51)</f>
        <v>500</v>
      </c>
      <c r="P129" s="12" t="n">
        <f aca="false">IF('Model inputs'!Z51="","",'Model inputs'!Z51)</f>
        <v>500</v>
      </c>
      <c r="Q129" s="12" t="n">
        <f aca="false">IF('Model inputs'!Z51="","",'Model inputs'!Z51)</f>
        <v>500</v>
      </c>
      <c r="R129" s="12" t="n">
        <f aca="false">IF('Model inputs'!Z51="","",'Model inputs'!Z51)</f>
        <v>500</v>
      </c>
      <c r="S129" s="12" t="n">
        <f aca="false">IF('Model inputs'!Z51="","",'Model inputs'!Z51)</f>
        <v>500</v>
      </c>
      <c r="T129" s="12" t="n">
        <f aca="false">IF('Model inputs'!Z51="","",'Model inputs'!Z51)</f>
        <v>500</v>
      </c>
      <c r="U129" s="12" t="n">
        <f aca="false">IF('Model inputs'!Z51="","",'Model inputs'!Z51)</f>
        <v>500</v>
      </c>
      <c r="V129" s="12" t="n">
        <f aca="false">IF('Model inputs'!Z51="","",'Model inputs'!Z51)</f>
        <v>500</v>
      </c>
      <c r="W129" s="12" t="n">
        <f aca="false">IF('Model inputs'!Z51="","",'Model inputs'!Z51)</f>
        <v>500</v>
      </c>
      <c r="X129" s="12" t="n">
        <f aca="false">IF('Model inputs'!Z51="","",'Model inputs'!Z51)</f>
        <v>500</v>
      </c>
      <c r="Y129" s="12" t="n">
        <f aca="false">IF('Model inputs'!Z51="","",'Model inputs'!Z51)</f>
        <v>500</v>
      </c>
    </row>
    <row r="130" customFormat="false" ht="18" hidden="false" customHeight="false" outlineLevel="0" collapsed="false">
      <c r="A130" s="27" t="s">
        <v>322</v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f aca="false">'Model inputs'!K54*'Model inputs'!Z29</f>
        <v>15.6</v>
      </c>
      <c r="L130" s="12" t="n">
        <f aca="false">'Model inputs'!L54*'Model inputs'!Z29</f>
        <v>15.6</v>
      </c>
      <c r="M130" s="12" t="n">
        <f aca="false">'Model inputs'!M54*'Model inputs'!Z29</f>
        <v>15.6</v>
      </c>
      <c r="N130" s="12" t="n">
        <f aca="false">'Model inputs'!N54*'Model inputs'!Z29</f>
        <v>15.6</v>
      </c>
      <c r="O130" s="12" t="n">
        <f aca="false">'Model inputs'!O54*'Model inputs'!Z29</f>
        <v>15.6</v>
      </c>
      <c r="P130" s="12" t="n">
        <f aca="false">'Model inputs'!P54*'Model inputs'!Z29</f>
        <v>15.6</v>
      </c>
      <c r="Q130" s="12" t="n">
        <f aca="false">'Model inputs'!Q54*'Model inputs'!Z29</f>
        <v>15.6</v>
      </c>
      <c r="R130" s="12" t="n">
        <f aca="false">'Model inputs'!R54*'Model inputs'!Z29</f>
        <v>15.6</v>
      </c>
      <c r="S130" s="12" t="n">
        <f aca="false">'Model inputs'!S54*'Model inputs'!Z29</f>
        <v>15.6</v>
      </c>
      <c r="T130" s="12" t="n">
        <f aca="false">'Model inputs'!T54*'Model inputs'!Z29</f>
        <v>15.6</v>
      </c>
      <c r="U130" s="12" t="n">
        <f aca="false">'Model inputs'!U54*'Model inputs'!Z29</f>
        <v>15.6</v>
      </c>
      <c r="V130" s="12" t="n">
        <f aca="false">'Model inputs'!V54*'Model inputs'!Z29</f>
        <v>15.6</v>
      </c>
      <c r="W130" s="12" t="n">
        <f aca="false">'Model inputs'!W54*'Model inputs'!Z29</f>
        <v>15.6</v>
      </c>
      <c r="X130" s="12" t="n">
        <f aca="false">'Model inputs'!X54*'Model inputs'!Z29</f>
        <v>15.6</v>
      </c>
      <c r="Y130" s="12" t="n">
        <f aca="false">'Model inputs'!Y54*'Model inputs'!Z29</f>
        <v>15.6</v>
      </c>
    </row>
    <row r="131" customFormat="false" ht="18" hidden="false" customHeight="false" outlineLevel="0" collapsed="false">
      <c r="A131" s="27" t="s">
        <v>323</v>
      </c>
      <c r="Z131" s="12" t="n">
        <f aca="false">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</f>
        <v>-53.1990177423553</v>
      </c>
    </row>
    <row r="132" customFormat="false" ht="18" hidden="false" customHeight="false" outlineLevel="0" collapsed="false">
      <c r="A132" s="27" t="s">
        <v>324</v>
      </c>
      <c r="J132" s="12" t="n">
        <v>0</v>
      </c>
      <c r="K132" s="12" t="n">
        <f aca="false">'Model inputs'!K59-'Model inputs'!K81</f>
        <v>-857.193</v>
      </c>
      <c r="L132" s="12" t="n">
        <f aca="false">'Model inputs'!L59-'Model inputs'!L81</f>
        <v>-273.74916</v>
      </c>
      <c r="M132" s="12" t="n">
        <f aca="false">'Model inputs'!M59-'Model inputs'!M81</f>
        <v>-188.4063327</v>
      </c>
      <c r="N132" s="12" t="n">
        <f aca="false">'Model inputs'!N59-'Model inputs'!N81</f>
        <v>-101.001372594</v>
      </c>
      <c r="O132" s="12" t="n">
        <f aca="false">'Model inputs'!O59-'Model inputs'!O81</f>
        <v>-11.36502278493</v>
      </c>
      <c r="P132" s="12" t="n">
        <f aca="false">'Model inputs'!P59-'Model inputs'!P81</f>
        <v>80.6784519614305</v>
      </c>
      <c r="Q132" s="12" t="n">
        <f aca="false">'Model inputs'!Q59-'Model inputs'!Q81</f>
        <v>175.311648668541</v>
      </c>
      <c r="R132" s="12" t="n">
        <f aca="false">'Model inputs'!R59-'Model inputs'!R81</f>
        <v>272.724426987735</v>
      </c>
      <c r="S132" s="12" t="n">
        <f aca="false">'Model inputs'!S59-'Model inputs'!S81</f>
        <v>373.114328346317</v>
      </c>
      <c r="T132" s="12" t="n">
        <f aca="false">'Model inputs'!T59-'Model inputs'!T81</f>
        <v>476.687014372551</v>
      </c>
      <c r="U132" s="12" t="n">
        <f aca="false">'Model inputs'!U59-'Model inputs'!U81</f>
        <v>583.65672561183</v>
      </c>
      <c r="V132" s="12" t="n">
        <f aca="false">'Model inputs'!V59-'Model inputs'!V81</f>
        <v>694.246761597453</v>
      </c>
      <c r="W132" s="12" t="n">
        <f aca="false">'Model inputs'!W59-'Model inputs'!W81</f>
        <v>808.689983391207</v>
      </c>
      <c r="X132" s="12" t="n">
        <f aca="false">'Model inputs'!X59-'Model inputs'!X81</f>
        <v>927.229339763231</v>
      </c>
      <c r="Y132" s="12" t="n">
        <f aca="false">'Model inputs'!Y59-'Model inputs'!Y81</f>
        <v>650.118418237783</v>
      </c>
    </row>
    <row r="133" customFormat="false" ht="18" hidden="false" customHeight="false" outlineLevel="0" collapsed="false">
      <c r="A133" s="27" t="s">
        <v>325</v>
      </c>
      <c r="J133" s="12" t="n">
        <v>0</v>
      </c>
      <c r="K133" s="12" t="n">
        <f aca="false">'Model inputs'!K84*'Model inputs'!Z29</f>
        <v>14.56</v>
      </c>
      <c r="L133" s="12" t="n">
        <f aca="false">'Model inputs'!L84*'Model inputs'!Z29</f>
        <v>20.5842</v>
      </c>
      <c r="M133" s="12" t="n">
        <f aca="false">'Model inputs'!M84*'Model inputs'!Z29</f>
        <v>26.750724</v>
      </c>
      <c r="N133" s="12" t="n">
        <f aca="false">'Model inputs'!N84*'Model inputs'!Z29</f>
        <v>33.07145478</v>
      </c>
      <c r="O133" s="12" t="n">
        <f aca="false">'Model inputs'!O84*'Model inputs'!Z29</f>
        <v>39.5587262616</v>
      </c>
      <c r="P133" s="12" t="n">
        <f aca="false">'Model inputs'!P84*'Model inputs'!Z29</f>
        <v>46.225350355002</v>
      </c>
      <c r="Q133" s="12" t="n">
        <f aca="false">'Model inputs'!Q84*'Model inputs'!Z29</f>
        <v>53.0846450196645</v>
      </c>
      <c r="R133" s="12" t="n">
        <f aca="false">'Model inputs'!R84*'Model inputs'!Z29</f>
        <v>60.1504636031526</v>
      </c>
      <c r="S133" s="12" t="n">
        <f aca="false">'Model inputs'!S84*'Model inputs'!Z29</f>
        <v>67.4372255258401</v>
      </c>
      <c r="T133" s="12" t="n">
        <f aca="false">'Model inputs'!T84*'Model inputs'!Z29</f>
        <v>74.959948382386</v>
      </c>
      <c r="U133" s="12" t="n">
        <f aca="false">'Model inputs'!U84*'Model inputs'!Z29</f>
        <v>82.7342815343517</v>
      </c>
      <c r="V133" s="12" t="n">
        <f aca="false">'Model inputs'!V84*'Model inputs'!Z29</f>
        <v>90.7765412719302</v>
      </c>
      <c r="W133" s="12" t="n">
        <f aca="false">'Model inputs'!W84*'Model inputs'!Z29</f>
        <v>99.1037476265618</v>
      </c>
      <c r="X133" s="12" t="n">
        <f aca="false">'Model inputs'!X84*'Model inputs'!Z29</f>
        <v>107.733662920194</v>
      </c>
      <c r="Y133" s="12" t="n">
        <f aca="false">'Model inputs'!Y84*'Model inputs'!Z29</f>
        <v>116.684832141139</v>
      </c>
    </row>
    <row r="134" customFormat="false" ht="18" hidden="false" customHeight="false" outlineLevel="0" collapsed="false">
      <c r="A134" s="27" t="s">
        <v>326</v>
      </c>
      <c r="J134" s="12" t="n">
        <v>0</v>
      </c>
      <c r="K134" s="12" t="n">
        <f aca="false">'Model inputs'!K119*'Model inputs'!Z89+('Model inputs'!K40+'Model inputs'!K17)*'Model inputs'!Z87</f>
        <v>9.033</v>
      </c>
      <c r="L134" s="12" t="n">
        <f aca="false">'Model inputs'!L119*'Model inputs'!Z89+('Model inputs'!L40+'Model inputs'!L17)*'Model inputs'!Z87</f>
        <v>12.80496</v>
      </c>
      <c r="M134" s="12" t="n">
        <f aca="false">'Model inputs'!M119*'Model inputs'!Z89+('Model inputs'!M40+'Model inputs'!M17)*'Model inputs'!Z87</f>
        <v>16.6659087</v>
      </c>
      <c r="N134" s="12" t="n">
        <f aca="false">'Model inputs'!N119*'Model inputs'!Z89+('Model inputs'!N40+'Model inputs'!N17)*'Model inputs'!Z87</f>
        <v>20.623283814</v>
      </c>
      <c r="O134" s="12" t="n">
        <f aca="false">'Model inputs'!O119*'Model inputs'!Z89+('Model inputs'!O40+'Model inputs'!O17)*'Model inputs'!Z87</f>
        <v>24.68480529333</v>
      </c>
      <c r="P134" s="12" t="n">
        <f aca="false">'Model inputs'!P119*'Model inputs'!Z89+('Model inputs'!P40+'Model inputs'!P17)*'Model inputs'!Z87</f>
        <v>28.8584921279676</v>
      </c>
      <c r="Q134" s="12" t="n">
        <f aca="false">'Model inputs'!Q119*'Model inputs'!Z89+('Model inputs'!Q40+'Model inputs'!Q17)*'Model inputs'!Z87</f>
        <v>33.152679907238</v>
      </c>
      <c r="R134" s="12" t="n">
        <f aca="false">'Model inputs'!R119*'Model inputs'!Z89+('Model inputs'!R40+'Model inputs'!R17)*'Model inputs'!Z87</f>
        <v>37.5760391802857</v>
      </c>
      <c r="S134" s="12" t="n">
        <f aca="false">'Model inputs'!S119*'Model inputs'!Z89+('Model inputs'!S40+'Model inputs'!S17)*'Model inputs'!Z87</f>
        <v>42.1375946586552</v>
      </c>
      <c r="T134" s="12" t="n">
        <f aca="false">'Model inputs'!T119*'Model inputs'!Z89+('Model inputs'!T40+'Model inputs'!T17)*'Model inputs'!Z87</f>
        <v>46.8467453053625</v>
      </c>
      <c r="U134" s="12" t="n">
        <f aca="false">'Model inputs'!U119*'Model inputs'!Z89+('Model inputs'!U40+'Model inputs'!U17)*'Model inputs'!Z87</f>
        <v>51.713285356992</v>
      </c>
      <c r="V134" s="12" t="n">
        <f aca="false">'Model inputs'!V119*'Model inputs'!Z89+('Model inputs'!V40+'Model inputs'!V17)*'Model inputs'!Z87</f>
        <v>56.7474263276121</v>
      </c>
      <c r="W134" s="12" t="n">
        <f aca="false">'Model inputs'!W119*'Model inputs'!Z89+('Model inputs'!W40+'Model inputs'!W17)*'Model inputs'!Z87</f>
        <v>61.9598200456801</v>
      </c>
      <c r="X134" s="12" t="n">
        <f aca="false">'Model inputs'!X119*'Model inputs'!Z89+('Model inputs'!X40+'Model inputs'!X17)*'Model inputs'!Z87</f>
        <v>67.3615827776009</v>
      </c>
      <c r="Y134" s="12" t="n">
        <f aca="false">'Model inputs'!Y119*'Model inputs'!Z89+('Model inputs'!Y40+'Model inputs'!Y17)*'Model inputs'!Z87</f>
        <v>72.9643204942286</v>
      </c>
    </row>
    <row r="135" customFormat="false" ht="18" hidden="false" customHeight="false" outlineLevel="0" collapsed="false">
      <c r="A135" s="27" t="s">
        <v>327</v>
      </c>
      <c r="J135" s="12" t="n">
        <v>0</v>
      </c>
      <c r="K135" s="12" t="n">
        <f aca="false">'Model inputs'!K143*'Model inputs'!Z100</f>
        <v>0</v>
      </c>
      <c r="L135" s="12" t="n">
        <f aca="false">'Model inputs'!L143*'Model inputs'!Z100</f>
        <v>0</v>
      </c>
      <c r="M135" s="12" t="n">
        <f aca="false">'Model inputs'!M143*'Model inputs'!Z100</f>
        <v>0</v>
      </c>
      <c r="N135" s="12" t="n">
        <f aca="false">'Model inputs'!N143*'Model inputs'!Z100</f>
        <v>0</v>
      </c>
      <c r="O135" s="12" t="n">
        <f aca="false">'Model inputs'!O143*'Model inputs'!Z100</f>
        <v>0</v>
      </c>
      <c r="P135" s="12" t="n">
        <f aca="false">'Model inputs'!P143*'Model inputs'!Z100</f>
        <v>0</v>
      </c>
      <c r="Q135" s="12" t="n">
        <f aca="false">'Model inputs'!Q143*'Model inputs'!Z100</f>
        <v>0</v>
      </c>
      <c r="R135" s="12" t="n">
        <f aca="false">'Model inputs'!R143*'Model inputs'!Z100</f>
        <v>0</v>
      </c>
      <c r="S135" s="12" t="n">
        <f aca="false">'Model inputs'!S143*'Model inputs'!Z100</f>
        <v>0</v>
      </c>
      <c r="T135" s="12" t="n">
        <f aca="false">'Model inputs'!T143*'Model inputs'!Z100</f>
        <v>0</v>
      </c>
      <c r="U135" s="12" t="n">
        <f aca="false">'Model inputs'!U143*'Model inputs'!Z100</f>
        <v>0</v>
      </c>
      <c r="V135" s="12" t="n">
        <f aca="false">'Model inputs'!V143*'Model inputs'!Z100</f>
        <v>0</v>
      </c>
      <c r="W135" s="12" t="n">
        <f aca="false">'Model inputs'!W143*'Model inputs'!Z100</f>
        <v>0</v>
      </c>
      <c r="X135" s="12" t="n">
        <f aca="false">'Model inputs'!X143*'Model inputs'!Z100</f>
        <v>0</v>
      </c>
      <c r="Y135" s="12" t="n">
        <f aca="false">'Model inputs'!Y143*'Model inputs'!Z100</f>
        <v>0</v>
      </c>
    </row>
    <row r="136" customFormat="false" ht="18" hidden="false" customHeight="false" outlineLevel="0" collapsed="false">
      <c r="A136" s="27" t="s">
        <v>328</v>
      </c>
      <c r="Z136" s="12" t="n">
        <f aca="false">'Model inputs'!Z23*('Model inputs'!Z49+'Model inputs'!Z100)</f>
        <v>3031.8</v>
      </c>
    </row>
    <row r="137" customFormat="false" ht="18" hidden="false" customHeight="false" outlineLevel="0" collapsed="false">
      <c r="A137" s="27" t="s">
        <v>329</v>
      </c>
      <c r="Z137" s="22" t="n">
        <f aca="false">'Gainsay drivers · Gainsay fixed'!B27</f>
        <v>50</v>
      </c>
    </row>
    <row r="138" customFormat="false" ht="18" hidden="false" customHeight="false" outlineLevel="0" collapsed="false">
      <c r="A138" s="27" t="s">
        <v>330</v>
      </c>
      <c r="AA138" s="22" t="n">
        <f aca="false">'Gainsay drivers · Gainsay fixed'!B27</f>
        <v>50</v>
      </c>
    </row>
    <row r="139" customFormat="false" ht="18" hidden="false" customHeight="false" outlineLevel="0" collapsed="false">
      <c r="A139" s="27" t="s">
        <v>331</v>
      </c>
      <c r="Z139" s="12" t="n">
        <f aca="false">'Gainsay drivers · Gainsay fixed'!B28</f>
        <v>400</v>
      </c>
    </row>
    <row r="140" customFormat="false" ht="18" hidden="false" customHeight="false" outlineLevel="0" collapsed="false">
      <c r="A140" s="27" t="s">
        <v>332</v>
      </c>
      <c r="AA140" s="12" t="n">
        <f aca="false">'Gainsay drivers · Gainsay fixed'!B28</f>
        <v>400</v>
      </c>
    </row>
    <row r="141" customFormat="false" ht="18" hidden="false" customHeight="false" outlineLevel="0" collapsed="false">
      <c r="A141" s="27" t="s">
        <v>333</v>
      </c>
      <c r="J141" s="22" t="n">
        <v>0</v>
      </c>
      <c r="K141" s="22" t="n">
        <f aca="false">'Gainsay drivers · Gainsay deman'!B7</f>
        <v>0.03</v>
      </c>
      <c r="L141" s="22" t="n">
        <f aca="false">IF('Model inputs'!K141="","",'Model inputs'!K141)</f>
        <v>0.03</v>
      </c>
      <c r="M141" s="22" t="n">
        <f aca="false">IF('Model inputs'!L141="","",'Model inputs'!L141)</f>
        <v>0.03</v>
      </c>
      <c r="N141" s="22" t="n">
        <f aca="false">IF('Model inputs'!M141="","",'Model inputs'!M141)</f>
        <v>0.03</v>
      </c>
      <c r="O141" s="22" t="n">
        <f aca="false">IF('Model inputs'!N141="","",'Model inputs'!N141)</f>
        <v>0.03</v>
      </c>
      <c r="P141" s="22" t="n">
        <f aca="false">IF('Model inputs'!O141="","",'Model inputs'!O141)</f>
        <v>0.03</v>
      </c>
      <c r="Q141" s="22" t="n">
        <f aca="false">IF('Model inputs'!P141="","",'Model inputs'!P141)</f>
        <v>0.03</v>
      </c>
      <c r="R141" s="22" t="n">
        <f aca="false">IF('Model inputs'!Q141="","",'Model inputs'!Q141)</f>
        <v>0.03</v>
      </c>
      <c r="S141" s="22" t="n">
        <f aca="false">IF('Model inputs'!R141="","",'Model inputs'!R141)</f>
        <v>0.03</v>
      </c>
      <c r="T141" s="22" t="n">
        <f aca="false">IF('Model inputs'!S141="","",'Model inputs'!S141)</f>
        <v>0.03</v>
      </c>
      <c r="U141" s="22" t="n">
        <f aca="false">IF('Model inputs'!T141="","",'Model inputs'!T141)</f>
        <v>0.03</v>
      </c>
      <c r="V141" s="22" t="n">
        <f aca="false">IF('Model inputs'!U141="","",'Model inputs'!U141)</f>
        <v>0.03</v>
      </c>
      <c r="W141" s="22" t="n">
        <f aca="false">IF('Model inputs'!V141="","",'Model inputs'!V141)</f>
        <v>0.03</v>
      </c>
      <c r="X141" s="22" t="n">
        <f aca="false">IF('Model inputs'!W141="","",'Model inputs'!W141)</f>
        <v>0.03</v>
      </c>
      <c r="Y141" s="22" t="n">
        <f aca="false">IF('Model inputs'!X141="","",'Model inputs'!X141)</f>
        <v>0.03</v>
      </c>
    </row>
    <row r="142" customFormat="false" ht="18" hidden="false" customHeight="false" outlineLevel="0" collapsed="false">
      <c r="A142" s="27" t="s">
        <v>334</v>
      </c>
      <c r="J142" s="22" t="n">
        <v>0</v>
      </c>
      <c r="K142" s="22" t="n">
        <f aca="false">'Gainsay drivers · Gainsay deman'!B5</f>
        <v>3</v>
      </c>
      <c r="L142" s="22" t="n">
        <f aca="false">'Model inputs'!K142*(1+'Model inputs'!L146)</f>
        <v>3.15</v>
      </c>
      <c r="M142" s="22" t="n">
        <f aca="false">'Model inputs'!L142*(1+'Model inputs'!M146)</f>
        <v>3.3075</v>
      </c>
      <c r="N142" s="22" t="n">
        <f aca="false">'Model inputs'!M142*(1+'Model inputs'!N146)</f>
        <v>3.472875</v>
      </c>
      <c r="O142" s="22" t="n">
        <f aca="false">'Model inputs'!N142*(1+'Model inputs'!O146)</f>
        <v>3.64651875</v>
      </c>
      <c r="P142" s="22" t="n">
        <f aca="false">'Model inputs'!O142*(1+'Model inputs'!P146)</f>
        <v>3.8288446875</v>
      </c>
      <c r="Q142" s="22" t="n">
        <f aca="false">'Model inputs'!P142*(1+'Model inputs'!Q146)</f>
        <v>4.020286921875</v>
      </c>
      <c r="R142" s="22" t="n">
        <f aca="false">'Model inputs'!Q142*(1+'Model inputs'!R146)</f>
        <v>4.22130126796875</v>
      </c>
      <c r="S142" s="22" t="n">
        <f aca="false">'Model inputs'!R142*(1+'Model inputs'!S146)</f>
        <v>4.43236633136719</v>
      </c>
      <c r="T142" s="22" t="n">
        <f aca="false">'Model inputs'!S142*(1+'Model inputs'!T146)</f>
        <v>4.65398464793555</v>
      </c>
      <c r="U142" s="22" t="n">
        <f aca="false">'Model inputs'!T142*(1+'Model inputs'!U146)</f>
        <v>4.88668388033233</v>
      </c>
      <c r="V142" s="22" t="n">
        <f aca="false">'Model inputs'!U142*(1+'Model inputs'!V146)</f>
        <v>5.13101807434894</v>
      </c>
      <c r="W142" s="22" t="n">
        <f aca="false">'Model inputs'!V142*(1+'Model inputs'!W146)</f>
        <v>5.38756897806639</v>
      </c>
      <c r="X142" s="22" t="n">
        <f aca="false">'Model inputs'!W142*(1+'Model inputs'!X146)</f>
        <v>5.65694742696971</v>
      </c>
      <c r="Y142" s="22" t="n">
        <f aca="false">'Model inputs'!X142*(1+'Model inputs'!Y146)</f>
        <v>5.9397947983182</v>
      </c>
    </row>
    <row r="143" customFormat="false" ht="18" hidden="false" customHeight="false" outlineLevel="0" collapsed="false">
      <c r="A143" s="27" t="s">
        <v>335</v>
      </c>
      <c r="J143" s="22" t="n">
        <v>0</v>
      </c>
      <c r="K143" s="22" t="n">
        <f aca="false">IF(IF(IF(IFERROR(IF(ISERROR('Model inputs'!J143&gt;0),'Model inputs'!J143&gt;0,IF('Model inputs'!J143="","",'Model inputs'!J143&gt;0))=TRUE(),FALSE()),TRUE(),IF(IFERROR(IF(ISERROR('Model inputs'!K15&gt;0),'Model inputs'!K15&gt;0,IF('Model inputs'!K15="","",'Model inputs'!K15&gt;0))=TRUE(),FALSE()),TRUE(),IF(OR(IF(ISERROR('Model inputs'!J143&gt;0),'Model inputs'!J143&gt;0,IF('Model inputs'!J143="","",'Model inputs'!J143&gt;0))="",IF(ISERROR('Model inputs'!K15&gt;0),'Model inputs'!K15&gt;0,IF('Model inputs'!K15="","",'Model inputs'!K15&gt;0))=""),"",OR(IF(ISERROR('Model inputs'!J143&gt;0),'Model inputs'!J143&gt;0,IF('Model inputs'!J143="","",'Model inputs'!J143&gt;0)),IF(ISERROR('Model inputs'!K15&gt;0),'Model inputs'!K15&gt;0,IF('Model inputs'!K15="","",'Model inputs'!K15&gt;0))))))="",FALSE(),IF(IFERROR(IF(ISERROR('Model inputs'!J143&gt;0),'Model inputs'!J143&gt;0,IF('Model inputs'!J143="","",'Model inputs'!J143&gt;0))=TRUE(),FALSE()),TRUE(),IF(IFERROR(IF(ISERROR('Model inputs'!K15&gt;0),'Model inputs'!K15&gt;0,IF('Model inputs'!K15="","",'Model inputs'!K15&gt;0))=TRUE(),FALSE()),TRUE(),IF(OR(IF(ISERROR('Model inputs'!J143&gt;0),'Model inputs'!J143&gt;0,IF('Model inputs'!J143="","",'Model inputs'!J143&gt;0))="",IF(ISERROR('Model inputs'!K15&gt;0),'Model inputs'!K15&gt;0,IF('Model inputs'!K15="","",'Model inputs'!K15&gt;0))=""),"",OR(IF(ISERROR('Model inputs'!J143&gt;0),'Model inputs'!J143&gt;0,IF('Model inputs'!J143="","",'Model inputs'!J143&gt;0)),IF(ISERROR('Model inputs'!K15&gt;0),'Model inputs'!K15&gt;0,IF('Model inputs'!K15="","",'Model inputs'!K15&gt;0))))))),1,0)</f>
        <v>0</v>
      </c>
      <c r="L143" s="22" t="n">
        <f aca="false">IF(IF(IF(IFERROR(IF(ISERROR('Model inputs'!K143&gt;0),'Model inputs'!K143&gt;0,IF('Model inputs'!K143="","",'Model inputs'!K143&gt;0))=TRUE(),FALSE()),TRUE(),IF(IFERROR(IF(ISERROR('Model inputs'!L15&gt;0),'Model inputs'!L15&gt;0,IF('Model inputs'!L15="","",'Model inputs'!L15&gt;0))=TRUE(),FALSE()),TRUE(),IF(OR(IF(ISERROR('Model inputs'!K143&gt;0),'Model inputs'!K143&gt;0,IF('Model inputs'!K143="","",'Model inputs'!K143&gt;0))="",IF(ISERROR('Model inputs'!L15&gt;0),'Model inputs'!L15&gt;0,IF('Model inputs'!L15="","",'Model inputs'!L15&gt;0))=""),"",OR(IF(ISERROR('Model inputs'!K143&gt;0),'Model inputs'!K143&gt;0,IF('Model inputs'!K143="","",'Model inputs'!K143&gt;0)),IF(ISERROR('Model inputs'!L15&gt;0),'Model inputs'!L15&gt;0,IF('Model inputs'!L15="","",'Model inputs'!L15&gt;0))))))="",FALSE(),IF(IFERROR(IF(ISERROR('Model inputs'!K143&gt;0),'Model inputs'!K143&gt;0,IF('Model inputs'!K143="","",'Model inputs'!K143&gt;0))=TRUE(),FALSE()),TRUE(),IF(IFERROR(IF(ISERROR('Model inputs'!L15&gt;0),'Model inputs'!L15&gt;0,IF('Model inputs'!L15="","",'Model inputs'!L15&gt;0))=TRUE(),FALSE()),TRUE(),IF(OR(IF(ISERROR('Model inputs'!K143&gt;0),'Model inputs'!K143&gt;0,IF('Model inputs'!K143="","",'Model inputs'!K143&gt;0))="",IF(ISERROR('Model inputs'!L15&gt;0),'Model inputs'!L15&gt;0,IF('Model inputs'!L15="","",'Model inputs'!L15&gt;0))=""),"",OR(IF(ISERROR('Model inputs'!K143&gt;0),'Model inputs'!K143&gt;0,IF('Model inputs'!K143="","",'Model inputs'!K143&gt;0)),IF(ISERROR('Model inputs'!L15&gt;0),'Model inputs'!L15&gt;0,IF('Model inputs'!L15="","",'Model inputs'!L15&gt;0))))))),1,0)</f>
        <v>0</v>
      </c>
      <c r="M143" s="22" t="n">
        <f aca="false">IF(IF(IF(IFERROR(IF(ISERROR('Model inputs'!L143&gt;0),'Model inputs'!L143&gt;0,IF('Model inputs'!L143="","",'Model inputs'!L143&gt;0))=TRUE(),FALSE()),TRUE(),IF(IFERROR(IF(ISERROR('Model inputs'!M15&gt;0),'Model inputs'!M15&gt;0,IF('Model inputs'!M15="","",'Model inputs'!M15&gt;0))=TRUE(),FALSE()),TRUE(),IF(OR(IF(ISERROR('Model inputs'!L143&gt;0),'Model inputs'!L143&gt;0,IF('Model inputs'!L143="","",'Model inputs'!L143&gt;0))="",IF(ISERROR('Model inputs'!M15&gt;0),'Model inputs'!M15&gt;0,IF('Model inputs'!M15="","",'Model inputs'!M15&gt;0))=""),"",OR(IF(ISERROR('Model inputs'!L143&gt;0),'Model inputs'!L143&gt;0,IF('Model inputs'!L143="","",'Model inputs'!L143&gt;0)),IF(ISERROR('Model inputs'!M15&gt;0),'Model inputs'!M15&gt;0,IF('Model inputs'!M15="","",'Model inputs'!M15&gt;0))))))="",FALSE(),IF(IFERROR(IF(ISERROR('Model inputs'!L143&gt;0),'Model inputs'!L143&gt;0,IF('Model inputs'!L143="","",'Model inputs'!L143&gt;0))=TRUE(),FALSE()),TRUE(),IF(IFERROR(IF(ISERROR('Model inputs'!M15&gt;0),'Model inputs'!M15&gt;0,IF('Model inputs'!M15="","",'Model inputs'!M15&gt;0))=TRUE(),FALSE()),TRUE(),IF(OR(IF(ISERROR('Model inputs'!L143&gt;0),'Model inputs'!L143&gt;0,IF('Model inputs'!L143="","",'Model inputs'!L143&gt;0))="",IF(ISERROR('Model inputs'!M15&gt;0),'Model inputs'!M15&gt;0,IF('Model inputs'!M15="","",'Model inputs'!M15&gt;0))=""),"",OR(IF(ISERROR('Model inputs'!L143&gt;0),'Model inputs'!L143&gt;0,IF('Model inputs'!L143="","",'Model inputs'!L143&gt;0)),IF(ISERROR('Model inputs'!M15&gt;0),'Model inputs'!M15&gt;0,IF('Model inputs'!M15="","",'Model inputs'!M15&gt;0))))))),1,0)</f>
        <v>0</v>
      </c>
      <c r="N143" s="22" t="n">
        <f aca="false">IF(IF(IF(IFERROR(IF(ISERROR('Model inputs'!M143&gt;0),'Model inputs'!M143&gt;0,IF('Model inputs'!M143="","",'Model inputs'!M143&gt;0))=TRUE(),FALSE()),TRUE(),IF(IFERROR(IF(ISERROR('Model inputs'!N15&gt;0),'Model inputs'!N15&gt;0,IF('Model inputs'!N15="","",'Model inputs'!N15&gt;0))=TRUE(),FALSE()),TRUE(),IF(OR(IF(ISERROR('Model inputs'!M143&gt;0),'Model inputs'!M143&gt;0,IF('Model inputs'!M143="","",'Model inputs'!M143&gt;0))="",IF(ISERROR('Model inputs'!N15&gt;0),'Model inputs'!N15&gt;0,IF('Model inputs'!N15="","",'Model inputs'!N15&gt;0))=""),"",OR(IF(ISERROR('Model inputs'!M143&gt;0),'Model inputs'!M143&gt;0,IF('Model inputs'!M143="","",'Model inputs'!M143&gt;0)),IF(ISERROR('Model inputs'!N15&gt;0),'Model inputs'!N15&gt;0,IF('Model inputs'!N15="","",'Model inputs'!N15&gt;0))))))="",FALSE(),IF(IFERROR(IF(ISERROR('Model inputs'!M143&gt;0),'Model inputs'!M143&gt;0,IF('Model inputs'!M143="","",'Model inputs'!M143&gt;0))=TRUE(),FALSE()),TRUE(),IF(IFERROR(IF(ISERROR('Model inputs'!N15&gt;0),'Model inputs'!N15&gt;0,IF('Model inputs'!N15="","",'Model inputs'!N15&gt;0))=TRUE(),FALSE()),TRUE(),IF(OR(IF(ISERROR('Model inputs'!M143&gt;0),'Model inputs'!M143&gt;0,IF('Model inputs'!M143="","",'Model inputs'!M143&gt;0))="",IF(ISERROR('Model inputs'!N15&gt;0),'Model inputs'!N15&gt;0,IF('Model inputs'!N15="","",'Model inputs'!N15&gt;0))=""),"",OR(IF(ISERROR('Model inputs'!M143&gt;0),'Model inputs'!M143&gt;0,IF('Model inputs'!M143="","",'Model inputs'!M143&gt;0)),IF(ISERROR('Model inputs'!N15&gt;0),'Model inputs'!N15&gt;0,IF('Model inputs'!N15="","",'Model inputs'!N15&gt;0))))))),1,0)</f>
        <v>1</v>
      </c>
      <c r="O143" s="22" t="n">
        <f aca="false">IF(IF(IF(IFERROR(IF(ISERROR('Model inputs'!N143&gt;0),'Model inputs'!N143&gt;0,IF('Model inputs'!N143="","",'Model inputs'!N143&gt;0))=TRUE(),FALSE()),TRUE(),IF(IFERROR(IF(ISERROR('Model inputs'!O15&gt;0),'Model inputs'!O15&gt;0,IF('Model inputs'!O15="","",'Model inputs'!O15&gt;0))=TRUE(),FALSE()),TRUE(),IF(OR(IF(ISERROR('Model inputs'!N143&gt;0),'Model inputs'!N143&gt;0,IF('Model inputs'!N143="","",'Model inputs'!N143&gt;0))="",IF(ISERROR('Model inputs'!O15&gt;0),'Model inputs'!O15&gt;0,IF('Model inputs'!O15="","",'Model inputs'!O15&gt;0))=""),"",OR(IF(ISERROR('Model inputs'!N143&gt;0),'Model inputs'!N143&gt;0,IF('Model inputs'!N143="","",'Model inputs'!N143&gt;0)),IF(ISERROR('Model inputs'!O15&gt;0),'Model inputs'!O15&gt;0,IF('Model inputs'!O15="","",'Model inputs'!O15&gt;0))))))="",FALSE(),IF(IFERROR(IF(ISERROR('Model inputs'!N143&gt;0),'Model inputs'!N143&gt;0,IF('Model inputs'!N143="","",'Model inputs'!N143&gt;0))=TRUE(),FALSE()),TRUE(),IF(IFERROR(IF(ISERROR('Model inputs'!O15&gt;0),'Model inputs'!O15&gt;0,IF('Model inputs'!O15="","",'Model inputs'!O15&gt;0))=TRUE(),FALSE()),TRUE(),IF(OR(IF(ISERROR('Model inputs'!N143&gt;0),'Model inputs'!N143&gt;0,IF('Model inputs'!N143="","",'Model inputs'!N143&gt;0))="",IF(ISERROR('Model inputs'!O15&gt;0),'Model inputs'!O15&gt;0,IF('Model inputs'!O15="","",'Model inputs'!O15&gt;0))=""),"",OR(IF(ISERROR('Model inputs'!N143&gt;0),'Model inputs'!N143&gt;0,IF('Model inputs'!N143="","",'Model inputs'!N143&gt;0)),IF(ISERROR('Model inputs'!O15&gt;0),'Model inputs'!O15&gt;0,IF('Model inputs'!O15="","",'Model inputs'!O15&gt;0))))))),1,0)</f>
        <v>1</v>
      </c>
      <c r="P143" s="22" t="n">
        <f aca="false">IF(IF(IF(IFERROR(IF(ISERROR('Model inputs'!O143&gt;0),'Model inputs'!O143&gt;0,IF('Model inputs'!O143="","",'Model inputs'!O143&gt;0))=TRUE(),FALSE()),TRUE(),IF(IFERROR(IF(ISERROR('Model inputs'!P15&gt;0),'Model inputs'!P15&gt;0,IF('Model inputs'!P15="","",'Model inputs'!P15&gt;0))=TRUE(),FALSE()),TRUE(),IF(OR(IF(ISERROR('Model inputs'!O143&gt;0),'Model inputs'!O143&gt;0,IF('Model inputs'!O143="","",'Model inputs'!O143&gt;0))="",IF(ISERROR('Model inputs'!P15&gt;0),'Model inputs'!P15&gt;0,IF('Model inputs'!P15="","",'Model inputs'!P15&gt;0))=""),"",OR(IF(ISERROR('Model inputs'!O143&gt;0),'Model inputs'!O143&gt;0,IF('Model inputs'!O143="","",'Model inputs'!O143&gt;0)),IF(ISERROR('Model inputs'!P15&gt;0),'Model inputs'!P15&gt;0,IF('Model inputs'!P15="","",'Model inputs'!P15&gt;0))))))="",FALSE(),IF(IFERROR(IF(ISERROR('Model inputs'!O143&gt;0),'Model inputs'!O143&gt;0,IF('Model inputs'!O143="","",'Model inputs'!O143&gt;0))=TRUE(),FALSE()),TRUE(),IF(IFERROR(IF(ISERROR('Model inputs'!P15&gt;0),'Model inputs'!P15&gt;0,IF('Model inputs'!P15="","",'Model inputs'!P15&gt;0))=TRUE(),FALSE()),TRUE(),IF(OR(IF(ISERROR('Model inputs'!O143&gt;0),'Model inputs'!O143&gt;0,IF('Model inputs'!O143="","",'Model inputs'!O143&gt;0))="",IF(ISERROR('Model inputs'!P15&gt;0),'Model inputs'!P15&gt;0,IF('Model inputs'!P15="","",'Model inputs'!P15&gt;0))=""),"",OR(IF(ISERROR('Model inputs'!O143&gt;0),'Model inputs'!O143&gt;0,IF('Model inputs'!O143="","",'Model inputs'!O143&gt;0)),IF(ISERROR('Model inputs'!P15&gt;0),'Model inputs'!P15&gt;0,IF('Model inputs'!P15="","",'Model inputs'!P15&gt;0))))))),1,0)</f>
        <v>1</v>
      </c>
      <c r="Q143" s="22" t="n">
        <f aca="false">IF(IF(IF(IFERROR(IF(ISERROR('Model inputs'!P143&gt;0),'Model inputs'!P143&gt;0,IF('Model inputs'!P143="","",'Model inputs'!P143&gt;0))=TRUE(),FALSE()),TRUE(),IF(IFERROR(IF(ISERROR('Model inputs'!Q15&gt;0),'Model inputs'!Q15&gt;0,IF('Model inputs'!Q15="","",'Model inputs'!Q15&gt;0))=TRUE(),FALSE()),TRUE(),IF(OR(IF(ISERROR('Model inputs'!P143&gt;0),'Model inputs'!P143&gt;0,IF('Model inputs'!P143="","",'Model inputs'!P143&gt;0))="",IF(ISERROR('Model inputs'!Q15&gt;0),'Model inputs'!Q15&gt;0,IF('Model inputs'!Q15="","",'Model inputs'!Q15&gt;0))=""),"",OR(IF(ISERROR('Model inputs'!P143&gt;0),'Model inputs'!P143&gt;0,IF('Model inputs'!P143="","",'Model inputs'!P143&gt;0)),IF(ISERROR('Model inputs'!Q15&gt;0),'Model inputs'!Q15&gt;0,IF('Model inputs'!Q15="","",'Model inputs'!Q15&gt;0))))))="",FALSE(),IF(IFERROR(IF(ISERROR('Model inputs'!P143&gt;0),'Model inputs'!P143&gt;0,IF('Model inputs'!P143="","",'Model inputs'!P143&gt;0))=TRUE(),FALSE()),TRUE(),IF(IFERROR(IF(ISERROR('Model inputs'!Q15&gt;0),'Model inputs'!Q15&gt;0,IF('Model inputs'!Q15="","",'Model inputs'!Q15&gt;0))=TRUE(),FALSE()),TRUE(),IF(OR(IF(ISERROR('Model inputs'!P143&gt;0),'Model inputs'!P143&gt;0,IF('Model inputs'!P143="","",'Model inputs'!P143&gt;0))="",IF(ISERROR('Model inputs'!Q15&gt;0),'Model inputs'!Q15&gt;0,IF('Model inputs'!Q15="","",'Model inputs'!Q15&gt;0))=""),"",OR(IF(ISERROR('Model inputs'!P143&gt;0),'Model inputs'!P143&gt;0,IF('Model inputs'!P143="","",'Model inputs'!P143&gt;0)),IF(ISERROR('Model inputs'!Q15&gt;0),'Model inputs'!Q15&gt;0,IF('Model inputs'!Q15="","",'Model inputs'!Q15&gt;0))))))),1,0)</f>
        <v>1</v>
      </c>
      <c r="R143" s="22" t="n">
        <f aca="false">IF(IF(IF(IFERROR(IF(ISERROR('Model inputs'!Q143&gt;0),'Model inputs'!Q143&gt;0,IF('Model inputs'!Q143="","",'Model inputs'!Q143&gt;0))=TRUE(),FALSE()),TRUE(),IF(IFERROR(IF(ISERROR('Model inputs'!R15&gt;0),'Model inputs'!R15&gt;0,IF('Model inputs'!R15="","",'Model inputs'!R15&gt;0))=TRUE(),FALSE()),TRUE(),IF(OR(IF(ISERROR('Model inputs'!Q143&gt;0),'Model inputs'!Q143&gt;0,IF('Model inputs'!Q143="","",'Model inputs'!Q143&gt;0))="",IF(ISERROR('Model inputs'!R15&gt;0),'Model inputs'!R15&gt;0,IF('Model inputs'!R15="","",'Model inputs'!R15&gt;0))=""),"",OR(IF(ISERROR('Model inputs'!Q143&gt;0),'Model inputs'!Q143&gt;0,IF('Model inputs'!Q143="","",'Model inputs'!Q143&gt;0)),IF(ISERROR('Model inputs'!R15&gt;0),'Model inputs'!R15&gt;0,IF('Model inputs'!R15="","",'Model inputs'!R15&gt;0))))))="",FALSE(),IF(IFERROR(IF(ISERROR('Model inputs'!Q143&gt;0),'Model inputs'!Q143&gt;0,IF('Model inputs'!Q143="","",'Model inputs'!Q143&gt;0))=TRUE(),FALSE()),TRUE(),IF(IFERROR(IF(ISERROR('Model inputs'!R15&gt;0),'Model inputs'!R15&gt;0,IF('Model inputs'!R15="","",'Model inputs'!R15&gt;0))=TRUE(),FALSE()),TRUE(),IF(OR(IF(ISERROR('Model inputs'!Q143&gt;0),'Model inputs'!Q143&gt;0,IF('Model inputs'!Q143="","",'Model inputs'!Q143&gt;0))="",IF(ISERROR('Model inputs'!R15&gt;0),'Model inputs'!R15&gt;0,IF('Model inputs'!R15="","",'Model inputs'!R15&gt;0))=""),"",OR(IF(ISERROR('Model inputs'!Q143&gt;0),'Model inputs'!Q143&gt;0,IF('Model inputs'!Q143="","",'Model inputs'!Q143&gt;0)),IF(ISERROR('Model inputs'!R15&gt;0),'Model inputs'!R15&gt;0,IF('Model inputs'!R15="","",'Model inputs'!R15&gt;0))))))),1,0)</f>
        <v>1</v>
      </c>
      <c r="S143" s="22" t="n">
        <f aca="false">IF(IF(IF(IFERROR(IF(ISERROR('Model inputs'!R143&gt;0),'Model inputs'!R143&gt;0,IF('Model inputs'!R143="","",'Model inputs'!R143&gt;0))=TRUE(),FALSE()),TRUE(),IF(IFERROR(IF(ISERROR('Model inputs'!S15&gt;0),'Model inputs'!S15&gt;0,IF('Model inputs'!S15="","",'Model inputs'!S15&gt;0))=TRUE(),FALSE()),TRUE(),IF(OR(IF(ISERROR('Model inputs'!R143&gt;0),'Model inputs'!R143&gt;0,IF('Model inputs'!R143="","",'Model inputs'!R143&gt;0))="",IF(ISERROR('Model inputs'!S15&gt;0),'Model inputs'!S15&gt;0,IF('Model inputs'!S15="","",'Model inputs'!S15&gt;0))=""),"",OR(IF(ISERROR('Model inputs'!R143&gt;0),'Model inputs'!R143&gt;0,IF('Model inputs'!R143="","",'Model inputs'!R143&gt;0)),IF(ISERROR('Model inputs'!S15&gt;0),'Model inputs'!S15&gt;0,IF('Model inputs'!S15="","",'Model inputs'!S15&gt;0))))))="",FALSE(),IF(IFERROR(IF(ISERROR('Model inputs'!R143&gt;0),'Model inputs'!R143&gt;0,IF('Model inputs'!R143="","",'Model inputs'!R143&gt;0))=TRUE(),FALSE()),TRUE(),IF(IFERROR(IF(ISERROR('Model inputs'!S15&gt;0),'Model inputs'!S15&gt;0,IF('Model inputs'!S15="","",'Model inputs'!S15&gt;0))=TRUE(),FALSE()),TRUE(),IF(OR(IF(ISERROR('Model inputs'!R143&gt;0),'Model inputs'!R143&gt;0,IF('Model inputs'!R143="","",'Model inputs'!R143&gt;0))="",IF(ISERROR('Model inputs'!S15&gt;0),'Model inputs'!S15&gt;0,IF('Model inputs'!S15="","",'Model inputs'!S15&gt;0))=""),"",OR(IF(ISERROR('Model inputs'!R143&gt;0),'Model inputs'!R143&gt;0,IF('Model inputs'!R143="","",'Model inputs'!R143&gt;0)),IF(ISERROR('Model inputs'!S15&gt;0),'Model inputs'!S15&gt;0,IF('Model inputs'!S15="","",'Model inputs'!S15&gt;0))))))),1,0)</f>
        <v>1</v>
      </c>
      <c r="T143" s="22" t="n">
        <f aca="false">IF(IF(IF(IFERROR(IF(ISERROR('Model inputs'!S143&gt;0),'Model inputs'!S143&gt;0,IF('Model inputs'!S143="","",'Model inputs'!S143&gt;0))=TRUE(),FALSE()),TRUE(),IF(IFERROR(IF(ISERROR('Model inputs'!T15&gt;0),'Model inputs'!T15&gt;0,IF('Model inputs'!T15="","",'Model inputs'!T15&gt;0))=TRUE(),FALSE()),TRUE(),IF(OR(IF(ISERROR('Model inputs'!S143&gt;0),'Model inputs'!S143&gt;0,IF('Model inputs'!S143="","",'Model inputs'!S143&gt;0))="",IF(ISERROR('Model inputs'!T15&gt;0),'Model inputs'!T15&gt;0,IF('Model inputs'!T15="","",'Model inputs'!T15&gt;0))=""),"",OR(IF(ISERROR('Model inputs'!S143&gt;0),'Model inputs'!S143&gt;0,IF('Model inputs'!S143="","",'Model inputs'!S143&gt;0)),IF(ISERROR('Model inputs'!T15&gt;0),'Model inputs'!T15&gt;0,IF('Model inputs'!T15="","",'Model inputs'!T15&gt;0))))))="",FALSE(),IF(IFERROR(IF(ISERROR('Model inputs'!S143&gt;0),'Model inputs'!S143&gt;0,IF('Model inputs'!S143="","",'Model inputs'!S143&gt;0))=TRUE(),FALSE()),TRUE(),IF(IFERROR(IF(ISERROR('Model inputs'!T15&gt;0),'Model inputs'!T15&gt;0,IF('Model inputs'!T15="","",'Model inputs'!T15&gt;0))=TRUE(),FALSE()),TRUE(),IF(OR(IF(ISERROR('Model inputs'!S143&gt;0),'Model inputs'!S143&gt;0,IF('Model inputs'!S143="","",'Model inputs'!S143&gt;0))="",IF(ISERROR('Model inputs'!T15&gt;0),'Model inputs'!T15&gt;0,IF('Model inputs'!T15="","",'Model inputs'!T15&gt;0))=""),"",OR(IF(ISERROR('Model inputs'!S143&gt;0),'Model inputs'!S143&gt;0,IF('Model inputs'!S143="","",'Model inputs'!S143&gt;0)),IF(ISERROR('Model inputs'!T15&gt;0),'Model inputs'!T15&gt;0,IF('Model inputs'!T15="","",'Model inputs'!T15&gt;0))))))),1,0)</f>
        <v>1</v>
      </c>
      <c r="U143" s="22" t="n">
        <f aca="false">IF(IF(IF(IFERROR(IF(ISERROR('Model inputs'!T143&gt;0),'Model inputs'!T143&gt;0,IF('Model inputs'!T143="","",'Model inputs'!T143&gt;0))=TRUE(),FALSE()),TRUE(),IF(IFERROR(IF(ISERROR('Model inputs'!U15&gt;0),'Model inputs'!U15&gt;0,IF('Model inputs'!U15="","",'Model inputs'!U15&gt;0))=TRUE(),FALSE()),TRUE(),IF(OR(IF(ISERROR('Model inputs'!T143&gt;0),'Model inputs'!T143&gt;0,IF('Model inputs'!T143="","",'Model inputs'!T143&gt;0))="",IF(ISERROR('Model inputs'!U15&gt;0),'Model inputs'!U15&gt;0,IF('Model inputs'!U15="","",'Model inputs'!U15&gt;0))=""),"",OR(IF(ISERROR('Model inputs'!T143&gt;0),'Model inputs'!T143&gt;0,IF('Model inputs'!T143="","",'Model inputs'!T143&gt;0)),IF(ISERROR('Model inputs'!U15&gt;0),'Model inputs'!U15&gt;0,IF('Model inputs'!U15="","",'Model inputs'!U15&gt;0))))))="",FALSE(),IF(IFERROR(IF(ISERROR('Model inputs'!T143&gt;0),'Model inputs'!T143&gt;0,IF('Model inputs'!T143="","",'Model inputs'!T143&gt;0))=TRUE(),FALSE()),TRUE(),IF(IFERROR(IF(ISERROR('Model inputs'!U15&gt;0),'Model inputs'!U15&gt;0,IF('Model inputs'!U15="","",'Model inputs'!U15&gt;0))=TRUE(),FALSE()),TRUE(),IF(OR(IF(ISERROR('Model inputs'!T143&gt;0),'Model inputs'!T143&gt;0,IF('Model inputs'!T143="","",'Model inputs'!T143&gt;0))="",IF(ISERROR('Model inputs'!U15&gt;0),'Model inputs'!U15&gt;0,IF('Model inputs'!U15="","",'Model inputs'!U15&gt;0))=""),"",OR(IF(ISERROR('Model inputs'!T143&gt;0),'Model inputs'!T143&gt;0,IF('Model inputs'!T143="","",'Model inputs'!T143&gt;0)),IF(ISERROR('Model inputs'!U15&gt;0),'Model inputs'!U15&gt;0,IF('Model inputs'!U15="","",'Model inputs'!U15&gt;0))))))),1,0)</f>
        <v>1</v>
      </c>
      <c r="V143" s="22" t="n">
        <f aca="false">IF(IF(IF(IFERROR(IF(ISERROR('Model inputs'!U143&gt;0),'Model inputs'!U143&gt;0,IF('Model inputs'!U143="","",'Model inputs'!U143&gt;0))=TRUE(),FALSE()),TRUE(),IF(IFERROR(IF(ISERROR('Model inputs'!V15&gt;0),'Model inputs'!V15&gt;0,IF('Model inputs'!V15="","",'Model inputs'!V15&gt;0))=TRUE(),FALSE()),TRUE(),IF(OR(IF(ISERROR('Model inputs'!U143&gt;0),'Model inputs'!U143&gt;0,IF('Model inputs'!U143="","",'Model inputs'!U143&gt;0))="",IF(ISERROR('Model inputs'!V15&gt;0),'Model inputs'!V15&gt;0,IF('Model inputs'!V15="","",'Model inputs'!V15&gt;0))=""),"",OR(IF(ISERROR('Model inputs'!U143&gt;0),'Model inputs'!U143&gt;0,IF('Model inputs'!U143="","",'Model inputs'!U143&gt;0)),IF(ISERROR('Model inputs'!V15&gt;0),'Model inputs'!V15&gt;0,IF('Model inputs'!V15="","",'Model inputs'!V15&gt;0))))))="",FALSE(),IF(IFERROR(IF(ISERROR('Model inputs'!U143&gt;0),'Model inputs'!U143&gt;0,IF('Model inputs'!U143="","",'Model inputs'!U143&gt;0))=TRUE(),FALSE()),TRUE(),IF(IFERROR(IF(ISERROR('Model inputs'!V15&gt;0),'Model inputs'!V15&gt;0,IF('Model inputs'!V15="","",'Model inputs'!V15&gt;0))=TRUE(),FALSE()),TRUE(),IF(OR(IF(ISERROR('Model inputs'!U143&gt;0),'Model inputs'!U143&gt;0,IF('Model inputs'!U143="","",'Model inputs'!U143&gt;0))="",IF(ISERROR('Model inputs'!V15&gt;0),'Model inputs'!V15&gt;0,IF('Model inputs'!V15="","",'Model inputs'!V15&gt;0))=""),"",OR(IF(ISERROR('Model inputs'!U143&gt;0),'Model inputs'!U143&gt;0,IF('Model inputs'!U143="","",'Model inputs'!U143&gt;0)),IF(ISERROR('Model inputs'!V15&gt;0),'Model inputs'!V15&gt;0,IF('Model inputs'!V15="","",'Model inputs'!V15&gt;0))))))),1,0)</f>
        <v>1</v>
      </c>
      <c r="W143" s="22" t="n">
        <f aca="false">IF(IF(IF(IFERROR(IF(ISERROR('Model inputs'!V143&gt;0),'Model inputs'!V143&gt;0,IF('Model inputs'!V143="","",'Model inputs'!V143&gt;0))=TRUE(),FALSE()),TRUE(),IF(IFERROR(IF(ISERROR('Model inputs'!W15&gt;0),'Model inputs'!W15&gt;0,IF('Model inputs'!W15="","",'Model inputs'!W15&gt;0))=TRUE(),FALSE()),TRUE(),IF(OR(IF(ISERROR('Model inputs'!V143&gt;0),'Model inputs'!V143&gt;0,IF('Model inputs'!V143="","",'Model inputs'!V143&gt;0))="",IF(ISERROR('Model inputs'!W15&gt;0),'Model inputs'!W15&gt;0,IF('Model inputs'!W15="","",'Model inputs'!W15&gt;0))=""),"",OR(IF(ISERROR('Model inputs'!V143&gt;0),'Model inputs'!V143&gt;0,IF('Model inputs'!V143="","",'Model inputs'!V143&gt;0)),IF(ISERROR('Model inputs'!W15&gt;0),'Model inputs'!W15&gt;0,IF('Model inputs'!W15="","",'Model inputs'!W15&gt;0))))))="",FALSE(),IF(IFERROR(IF(ISERROR('Model inputs'!V143&gt;0),'Model inputs'!V143&gt;0,IF('Model inputs'!V143="","",'Model inputs'!V143&gt;0))=TRUE(),FALSE()),TRUE(),IF(IFERROR(IF(ISERROR('Model inputs'!W15&gt;0),'Model inputs'!W15&gt;0,IF('Model inputs'!W15="","",'Model inputs'!W15&gt;0))=TRUE(),FALSE()),TRUE(),IF(OR(IF(ISERROR('Model inputs'!V143&gt;0),'Model inputs'!V143&gt;0,IF('Model inputs'!V143="","",'Model inputs'!V143&gt;0))="",IF(ISERROR('Model inputs'!W15&gt;0),'Model inputs'!W15&gt;0,IF('Model inputs'!W15="","",'Model inputs'!W15&gt;0))=""),"",OR(IF(ISERROR('Model inputs'!V143&gt;0),'Model inputs'!V143&gt;0,IF('Model inputs'!V143="","",'Model inputs'!V143&gt;0)),IF(ISERROR('Model inputs'!W15&gt;0),'Model inputs'!W15&gt;0,IF('Model inputs'!W15="","",'Model inputs'!W15&gt;0))))))),1,0)</f>
        <v>1</v>
      </c>
      <c r="X143" s="22" t="n">
        <f aca="false">IF(IF(IF(IFERROR(IF(ISERROR('Model inputs'!W143&gt;0),'Model inputs'!W143&gt;0,IF('Model inputs'!W143="","",'Model inputs'!W143&gt;0))=TRUE(),FALSE()),TRUE(),IF(IFERROR(IF(ISERROR('Model inputs'!X15&gt;0),'Model inputs'!X15&gt;0,IF('Model inputs'!X15="","",'Model inputs'!X15&gt;0))=TRUE(),FALSE()),TRUE(),IF(OR(IF(ISERROR('Model inputs'!W143&gt;0),'Model inputs'!W143&gt;0,IF('Model inputs'!W143="","",'Model inputs'!W143&gt;0))="",IF(ISERROR('Model inputs'!X15&gt;0),'Model inputs'!X15&gt;0,IF('Model inputs'!X15="","",'Model inputs'!X15&gt;0))=""),"",OR(IF(ISERROR('Model inputs'!W143&gt;0),'Model inputs'!W143&gt;0,IF('Model inputs'!W143="","",'Model inputs'!W143&gt;0)),IF(ISERROR('Model inputs'!X15&gt;0),'Model inputs'!X15&gt;0,IF('Model inputs'!X15="","",'Model inputs'!X15&gt;0))))))="",FALSE(),IF(IFERROR(IF(ISERROR('Model inputs'!W143&gt;0),'Model inputs'!W143&gt;0,IF('Model inputs'!W143="","",'Model inputs'!W143&gt;0))=TRUE(),FALSE()),TRUE(),IF(IFERROR(IF(ISERROR('Model inputs'!X15&gt;0),'Model inputs'!X15&gt;0,IF('Model inputs'!X15="","",'Model inputs'!X15&gt;0))=TRUE(),FALSE()),TRUE(),IF(OR(IF(ISERROR('Model inputs'!W143&gt;0),'Model inputs'!W143&gt;0,IF('Model inputs'!W143="","",'Model inputs'!W143&gt;0))="",IF(ISERROR('Model inputs'!X15&gt;0),'Model inputs'!X15&gt;0,IF('Model inputs'!X15="","",'Model inputs'!X15&gt;0))=""),"",OR(IF(ISERROR('Model inputs'!W143&gt;0),'Model inputs'!W143&gt;0,IF('Model inputs'!W143="","",'Model inputs'!W143&gt;0)),IF(ISERROR('Model inputs'!X15&gt;0),'Model inputs'!X15&gt;0,IF('Model inputs'!X15="","",'Model inputs'!X15&gt;0))))))),1,0)</f>
        <v>1</v>
      </c>
      <c r="Y143" s="22" t="n">
        <f aca="false">IF(IF(IF(IFERROR(IF(ISERROR('Model inputs'!X143&gt;0),'Model inputs'!X143&gt;0,IF('Model inputs'!X143="","",'Model inputs'!X143&gt;0))=TRUE(),FALSE()),TRUE(),IF(IFERROR(IF(ISERROR('Model inputs'!Y15&gt;0),'Model inputs'!Y15&gt;0,IF('Model inputs'!Y15="","",'Model inputs'!Y15&gt;0))=TRUE(),FALSE()),TRUE(),IF(OR(IF(ISERROR('Model inputs'!X143&gt;0),'Model inputs'!X143&gt;0,IF('Model inputs'!X143="","",'Model inputs'!X143&gt;0))="",IF(ISERROR('Model inputs'!Y15&gt;0),'Model inputs'!Y15&gt;0,IF('Model inputs'!Y15="","",'Model inputs'!Y15&gt;0))=""),"",OR(IF(ISERROR('Model inputs'!X143&gt;0),'Model inputs'!X143&gt;0,IF('Model inputs'!X143="","",'Model inputs'!X143&gt;0)),IF(ISERROR('Model inputs'!Y15&gt;0),'Model inputs'!Y15&gt;0,IF('Model inputs'!Y15="","",'Model inputs'!Y15&gt;0))))))="",FALSE(),IF(IFERROR(IF(ISERROR('Model inputs'!X143&gt;0),'Model inputs'!X143&gt;0,IF('Model inputs'!X143="","",'Model inputs'!X143&gt;0))=TRUE(),FALSE()),TRUE(),IF(IFERROR(IF(ISERROR('Model inputs'!Y15&gt;0),'Model inputs'!Y15&gt;0,IF('Model inputs'!Y15="","",'Model inputs'!Y15&gt;0))=TRUE(),FALSE()),TRUE(),IF(OR(IF(ISERROR('Model inputs'!X143&gt;0),'Model inputs'!X143&gt;0,IF('Model inputs'!X143="","",'Model inputs'!X143&gt;0))="",IF(ISERROR('Model inputs'!Y15&gt;0),'Model inputs'!Y15&gt;0,IF('Model inputs'!Y15="","",'Model inputs'!Y15&gt;0))=""),"",OR(IF(ISERROR('Model inputs'!X143&gt;0),'Model inputs'!X143&gt;0,IF('Model inputs'!X143="","",'Model inputs'!X143&gt;0)),IF(ISERROR('Model inputs'!Y15&gt;0),'Model inputs'!Y15&gt;0,IF('Model inputs'!Y15="","",'Model inputs'!Y15&gt;0))))))),1,0)</f>
        <v>1</v>
      </c>
    </row>
    <row r="144" customFormat="false" ht="18" hidden="false" customHeight="false" outlineLevel="0" collapsed="false">
      <c r="A144" s="27" t="s">
        <v>336</v>
      </c>
      <c r="J144" s="22" t="n">
        <v>0</v>
      </c>
      <c r="K144" s="22" t="n">
        <f aca="false">'Model inputs'!K40*'Model inputs'!Z77</f>
        <v>6</v>
      </c>
      <c r="L144" s="22" t="n">
        <f aca="false">'Model inputs'!L40*'Model inputs'!Z77</f>
        <v>12.12</v>
      </c>
      <c r="M144" s="22" t="n">
        <f aca="false">'Model inputs'!M40*'Model inputs'!Z77</f>
        <v>18.3714</v>
      </c>
      <c r="N144" s="22" t="n">
        <f aca="false">'Model inputs'!N40*'Model inputs'!Z77</f>
        <v>24.766008</v>
      </c>
      <c r="O144" s="22" t="n">
        <f aca="false">'Model inputs'!O40*'Model inputs'!Z77</f>
        <v>31.31606526</v>
      </c>
      <c r="P144" s="22" t="n">
        <f aca="false">'Model inputs'!P40*'Model inputs'!Z77</f>
        <v>38.0342726772</v>
      </c>
      <c r="Q144" s="22" t="n">
        <f aca="false">'Model inputs'!Q40*'Model inputs'!Z77</f>
        <v>44.933818340634</v>
      </c>
      <c r="R144" s="22" t="n">
        <f aca="false">'Model inputs'!R40*'Model inputs'!Z77</f>
        <v>52.0284063263525</v>
      </c>
      <c r="S144" s="22" t="n">
        <f aca="false">'Model inputs'!S40*'Model inputs'!Z77</f>
        <v>59.3322867992963</v>
      </c>
      <c r="T144" s="22" t="n">
        <f aca="false">'Model inputs'!T40*'Model inputs'!Z77</f>
        <v>66.8602874911885</v>
      </c>
      <c r="U144" s="22" t="n">
        <f aca="false">'Model inputs'!U40*'Model inputs'!Z77</f>
        <v>74.6278466271175</v>
      </c>
      <c r="V144" s="22" t="n">
        <f aca="false">'Model inputs'!V40*'Model inputs'!Z77</f>
        <v>82.6510473770019</v>
      </c>
      <c r="W144" s="22" t="n">
        <f aca="false">'Model inputs'!W40*'Model inputs'!Z77</f>
        <v>90.9466539118246</v>
      </c>
      <c r="X144" s="22" t="n">
        <f aca="false">'Model inputs'!X40*'Model inputs'!Z77</f>
        <v>99.5321491484093</v>
      </c>
      <c r="Y144" s="22" t="n">
        <f aca="false">'Model inputs'!Y40*'Model inputs'!Z77</f>
        <v>108.425774270593</v>
      </c>
    </row>
    <row r="145" customFormat="false" ht="18" hidden="false" customHeight="false" outlineLevel="0" collapsed="false">
      <c r="A145" s="27" t="s">
        <v>337</v>
      </c>
      <c r="J145" s="22" t="n">
        <v>0</v>
      </c>
      <c r="K145" s="22" t="n">
        <f aca="false">IF('Model inputs'!Z57="","",'Model inputs'!Z57)</f>
        <v>20</v>
      </c>
      <c r="L145" s="22" t="n">
        <f aca="false">IF('Model inputs'!Z57="","",'Model inputs'!Z57)</f>
        <v>20</v>
      </c>
      <c r="M145" s="22" t="n">
        <f aca="false">IF('Model inputs'!Z57="","",'Model inputs'!Z57)</f>
        <v>20</v>
      </c>
      <c r="N145" s="22" t="n">
        <f aca="false">IF('Model inputs'!Z57="","",'Model inputs'!Z57)</f>
        <v>20</v>
      </c>
      <c r="O145" s="22" t="n">
        <f aca="false">IF('Model inputs'!Z57="","",'Model inputs'!Z57)</f>
        <v>20</v>
      </c>
      <c r="P145" s="22" t="n">
        <f aca="false">IF('Model inputs'!Z57="","",'Model inputs'!Z57)</f>
        <v>20</v>
      </c>
      <c r="Q145" s="22" t="n">
        <f aca="false">IF('Model inputs'!Z57="","",'Model inputs'!Z57)</f>
        <v>20</v>
      </c>
      <c r="R145" s="22" t="n">
        <f aca="false">IF('Model inputs'!Z57="","",'Model inputs'!Z57)</f>
        <v>20</v>
      </c>
      <c r="S145" s="22" t="n">
        <f aca="false">IF('Model inputs'!Z57="","",'Model inputs'!Z57)</f>
        <v>20</v>
      </c>
      <c r="T145" s="22" t="n">
        <f aca="false">IF('Model inputs'!Z57="","",'Model inputs'!Z57)</f>
        <v>20</v>
      </c>
      <c r="U145" s="22" t="n">
        <f aca="false">IF('Model inputs'!Z57="","",'Model inputs'!Z57)</f>
        <v>20</v>
      </c>
      <c r="V145" s="22" t="n">
        <f aca="false">IF('Model inputs'!Z57="","",'Model inputs'!Z57)</f>
        <v>20</v>
      </c>
      <c r="W145" s="22" t="n">
        <f aca="false">IF('Model inputs'!Z57="","",'Model inputs'!Z57)</f>
        <v>20</v>
      </c>
      <c r="X145" s="22" t="n">
        <f aca="false">IF('Model inputs'!Z57="","",'Model inputs'!Z57)</f>
        <v>20</v>
      </c>
      <c r="Y145" s="22" t="n">
        <f aca="false">IF('Model inputs'!Z57="","",'Model inputs'!Z57)</f>
        <v>20</v>
      </c>
    </row>
    <row r="146" customFormat="false" ht="18" hidden="false" customHeight="false" outlineLevel="0" collapsed="false">
      <c r="A146" s="27" t="s">
        <v>338</v>
      </c>
      <c r="J146" s="22" t="n">
        <v>0</v>
      </c>
      <c r="K146" s="22" t="n">
        <f aca="false">'Gainsay drivers · Gainsay deman'!B6</f>
        <v>0.05</v>
      </c>
      <c r="L146" s="22" t="n">
        <f aca="false">IF('Model inputs'!K146="","",'Model inputs'!K146)</f>
        <v>0.05</v>
      </c>
      <c r="M146" s="22" t="n">
        <f aca="false">IF('Model inputs'!L146="","",'Model inputs'!L146)</f>
        <v>0.05</v>
      </c>
      <c r="N146" s="22" t="n">
        <f aca="false">IF('Model inputs'!M146="","",'Model inputs'!M146)</f>
        <v>0.05</v>
      </c>
      <c r="O146" s="22" t="n">
        <f aca="false">IF('Model inputs'!N146="","",'Model inputs'!N146)</f>
        <v>0.05</v>
      </c>
      <c r="P146" s="22" t="n">
        <f aca="false">IF('Model inputs'!O146="","",'Model inputs'!O146)</f>
        <v>0.05</v>
      </c>
      <c r="Q146" s="22" t="n">
        <f aca="false">IF('Model inputs'!P146="","",'Model inputs'!P146)</f>
        <v>0.05</v>
      </c>
      <c r="R146" s="22" t="n">
        <f aca="false">IF('Model inputs'!Q146="","",'Model inputs'!Q146)</f>
        <v>0.05</v>
      </c>
      <c r="S146" s="22" t="n">
        <f aca="false">IF('Model inputs'!R146="","",'Model inputs'!R146)</f>
        <v>0.05</v>
      </c>
      <c r="T146" s="22" t="n">
        <f aca="false">IF('Model inputs'!S146="","",'Model inputs'!S146)</f>
        <v>0.05</v>
      </c>
      <c r="U146" s="22" t="n">
        <f aca="false">IF('Model inputs'!T146="","",'Model inputs'!T146)</f>
        <v>0.05</v>
      </c>
      <c r="V146" s="22" t="n">
        <f aca="false">IF('Model inputs'!U146="","",'Model inputs'!U146)</f>
        <v>0.05</v>
      </c>
      <c r="W146" s="22" t="n">
        <f aca="false">IF('Model inputs'!V146="","",'Model inputs'!V146)</f>
        <v>0.05</v>
      </c>
      <c r="X146" s="22" t="n">
        <f aca="false">IF('Model inputs'!W146="","",'Model inputs'!W146)</f>
        <v>0.05</v>
      </c>
      <c r="Y146" s="22" t="n">
        <f aca="false">IF('Model inputs'!X146="","",'Model inputs'!X146)</f>
        <v>0.05</v>
      </c>
    </row>
    <row r="147" customFormat="false" ht="18" hidden="false" customHeight="false" outlineLevel="0" collapsed="false">
      <c r="A147" s="27" t="s">
        <v>339</v>
      </c>
      <c r="B147" s="22" t="n">
        <v>0</v>
      </c>
      <c r="C147" s="22" t="n">
        <v>0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2" t="n">
        <f aca="false">5</f>
        <v>5</v>
      </c>
      <c r="L147" s="22" t="n">
        <f aca="false">'Model inputs'!K147*(1+'Model inputs'!L223)</f>
        <v>5</v>
      </c>
      <c r="M147" s="22" t="n">
        <f aca="false">'Model inputs'!L147*(1+'Model inputs'!M223)</f>
        <v>5</v>
      </c>
      <c r="N147" s="22" t="n">
        <f aca="false">'Model inputs'!M147*(1+'Model inputs'!N223)</f>
        <v>5</v>
      </c>
      <c r="O147" s="22" t="n">
        <f aca="false">'Model inputs'!N147*(1+'Model inputs'!O223)</f>
        <v>5</v>
      </c>
      <c r="P147" s="22" t="n">
        <f aca="false">'Model inputs'!O147*(1+'Model inputs'!P223)</f>
        <v>5</v>
      </c>
      <c r="Q147" s="22" t="n">
        <f aca="false">'Model inputs'!P147*(1+'Model inputs'!Q223)</f>
        <v>5</v>
      </c>
      <c r="R147" s="22" t="n">
        <f aca="false">'Model inputs'!Q147*(1+'Model inputs'!R223)</f>
        <v>5</v>
      </c>
      <c r="S147" s="22" t="n">
        <f aca="false">'Model inputs'!R147*(1+'Model inputs'!S223)</f>
        <v>5</v>
      </c>
      <c r="T147" s="22" t="n">
        <f aca="false">'Model inputs'!S147*(1+'Model inputs'!T223)</f>
        <v>5</v>
      </c>
      <c r="U147" s="22" t="n">
        <f aca="false">'Model inputs'!T147*(1+'Model inputs'!U223)</f>
        <v>5</v>
      </c>
      <c r="V147" s="22" t="n">
        <f aca="false">'Model inputs'!U147*(1+'Model inputs'!V223)</f>
        <v>5</v>
      </c>
      <c r="W147" s="22" t="n">
        <f aca="false">'Model inputs'!V147*(1+'Model inputs'!W223)</f>
        <v>5</v>
      </c>
      <c r="X147" s="22" t="n">
        <f aca="false">'Model inputs'!W147*(1+'Model inputs'!X223)</f>
        <v>5</v>
      </c>
      <c r="Y147" s="22" t="n">
        <f aca="false">'Model inputs'!X147*(1+'Model inputs'!Y223)</f>
        <v>5</v>
      </c>
    </row>
    <row r="148" customFormat="false" ht="18" hidden="false" customHeight="false" outlineLevel="0" collapsed="false">
      <c r="A148" s="27" t="s">
        <v>340</v>
      </c>
      <c r="B148" s="22" t="n">
        <v>0</v>
      </c>
      <c r="C148" s="22" t="n">
        <v>0</v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2" t="n">
        <f aca="false">20</f>
        <v>20</v>
      </c>
      <c r="L148" s="22" t="n">
        <f aca="false">'Model inputs'!K148*(1+'Model inputs'!L224)</f>
        <v>22</v>
      </c>
      <c r="M148" s="22" t="n">
        <f aca="false">'Model inputs'!L148*(1+'Model inputs'!M224)</f>
        <v>24.2</v>
      </c>
      <c r="N148" s="22" t="n">
        <f aca="false">'Model inputs'!M148*(1+'Model inputs'!N224)</f>
        <v>26.62</v>
      </c>
      <c r="O148" s="22" t="n">
        <f aca="false">'Model inputs'!N148*(1+'Model inputs'!O224)</f>
        <v>29.282</v>
      </c>
      <c r="P148" s="22" t="n">
        <f aca="false">'Model inputs'!O148*(1+'Model inputs'!P224)</f>
        <v>32.2102</v>
      </c>
      <c r="Q148" s="22" t="n">
        <f aca="false">'Model inputs'!P148*(1+'Model inputs'!Q224)</f>
        <v>35.43122</v>
      </c>
      <c r="R148" s="22" t="n">
        <f aca="false">'Model inputs'!Q148*(1+'Model inputs'!R224)</f>
        <v>38.974342</v>
      </c>
      <c r="S148" s="22" t="n">
        <f aca="false">'Model inputs'!R148*(1+'Model inputs'!S224)</f>
        <v>42.8717762</v>
      </c>
      <c r="T148" s="22" t="n">
        <f aca="false">'Model inputs'!S148*(1+'Model inputs'!T224)</f>
        <v>47.15895382</v>
      </c>
      <c r="U148" s="22" t="n">
        <f aca="false">'Model inputs'!T148*(1+'Model inputs'!U224)</f>
        <v>51.874849202</v>
      </c>
      <c r="V148" s="22" t="n">
        <f aca="false">'Model inputs'!U148*(1+'Model inputs'!V224)</f>
        <v>57.0623341222</v>
      </c>
      <c r="W148" s="22" t="n">
        <f aca="false">'Model inputs'!V148*(1+'Model inputs'!W224)</f>
        <v>62.7685675344201</v>
      </c>
      <c r="X148" s="22" t="n">
        <f aca="false">'Model inputs'!W148*(1+'Model inputs'!X224)</f>
        <v>69.0454242878621</v>
      </c>
      <c r="Y148" s="22" t="n">
        <f aca="false">'Model inputs'!X148*(1+'Model inputs'!Y224)</f>
        <v>75.9499667166483</v>
      </c>
    </row>
    <row r="149" customFormat="false" ht="18" hidden="false" customHeight="false" outlineLevel="0" collapsed="false">
      <c r="A149" s="27" t="s">
        <v>341</v>
      </c>
      <c r="AA149" s="12" t="n">
        <f aca="false">'Gainsay drivers · Gainsay fixed'!B7</f>
        <v>9</v>
      </c>
    </row>
    <row r="150" customFormat="false" ht="18" hidden="false" customHeight="false" outlineLevel="0" collapsed="false">
      <c r="A150" s="27" t="s">
        <v>342</v>
      </c>
      <c r="AA150" s="12" t="n">
        <f aca="false">'Gainsay drivers · Gainsay fixed'!B7</f>
        <v>9</v>
      </c>
    </row>
    <row r="151" customFormat="false" ht="18" hidden="false" customHeight="false" outlineLevel="0" collapsed="false">
      <c r="A151" s="27" t="s">
        <v>343</v>
      </c>
      <c r="AA151" s="22" t="n">
        <f aca="false">'Gainsay drivers · Gainsay fixed'!B10</f>
        <v>30</v>
      </c>
    </row>
    <row r="152" customFormat="false" ht="18" hidden="false" customHeight="false" outlineLevel="0" collapsed="false">
      <c r="A152" s="27" t="s">
        <v>344</v>
      </c>
      <c r="AA152" s="22" t="n">
        <f aca="false">'Gainsay drivers · Gainsay fixed'!B10</f>
        <v>30</v>
      </c>
    </row>
    <row r="153" customFormat="false" ht="18" hidden="false" customHeight="false" outlineLevel="0" collapsed="false">
      <c r="A153" s="27" t="s">
        <v>345</v>
      </c>
      <c r="AA153" s="22" t="n">
        <f aca="false">'Gainsay drivers · Gainsay fixed'!B9</f>
        <v>35</v>
      </c>
    </row>
    <row r="154" customFormat="false" ht="18" hidden="false" customHeight="false" outlineLevel="0" collapsed="false">
      <c r="A154" s="27" t="s">
        <v>346</v>
      </c>
      <c r="AA154" s="22" t="n">
        <f aca="false">'Gainsay drivers · Gainsay fixed'!B9</f>
        <v>35</v>
      </c>
    </row>
    <row r="155" customFormat="false" ht="18" hidden="false" customHeight="false" outlineLevel="0" collapsed="false">
      <c r="A155" s="27" t="s">
        <v>347</v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f aca="false">IF(IF(IF(ISERROR('Model inputs'!K166&gt;='Model inputs'!AA213),'Model inputs'!K166&gt;='Model inputs'!AA213,IF(OR('Model inputs'!K166="",'Model inputs'!AA213=""),"",'Model inputs'!K166&gt;='Model inputs'!AA213))="",FALSE(),IF(ISERROR('Model inputs'!K166&gt;='Model inputs'!AA213),'Model inputs'!K166&gt;='Model inputs'!AA213,IF(OR('Model inputs'!K166="",'Model inputs'!AA213=""),"",'Model inputs'!K166&gt;='Model inputs'!AA213))),IF('Model inputs'!AA215="","",'Model inputs'!AA215),0)</f>
        <v>0</v>
      </c>
      <c r="L155" s="12" t="n">
        <f aca="false">IF(IF(IF(ISERROR('Model inputs'!L166&gt;='Model inputs'!AA213),'Model inputs'!L166&gt;='Model inputs'!AA213,IF(OR('Model inputs'!L166="",'Model inputs'!AA213=""),"",'Model inputs'!L166&gt;='Model inputs'!AA213))="",FALSE(),IF(ISERROR('Model inputs'!L166&gt;='Model inputs'!AA213),'Model inputs'!L166&gt;='Model inputs'!AA213,IF(OR('Model inputs'!L166="",'Model inputs'!AA213=""),"",'Model inputs'!L166&gt;='Model inputs'!AA213))),IF('Model inputs'!AA215="","",'Model inputs'!AA215),0)</f>
        <v>0</v>
      </c>
      <c r="M155" s="12" t="n">
        <f aca="false">IF(IF(IF(ISERROR('Model inputs'!M166&gt;='Model inputs'!AA213),'Model inputs'!M166&gt;='Model inputs'!AA213,IF(OR('Model inputs'!M166="",'Model inputs'!AA213=""),"",'Model inputs'!M166&gt;='Model inputs'!AA213))="",FALSE(),IF(ISERROR('Model inputs'!M166&gt;='Model inputs'!AA213),'Model inputs'!M166&gt;='Model inputs'!AA213,IF(OR('Model inputs'!M166="",'Model inputs'!AA213=""),"",'Model inputs'!M166&gt;='Model inputs'!AA213))),IF('Model inputs'!AA215="","",'Model inputs'!AA215),0)</f>
        <v>0</v>
      </c>
      <c r="N155" s="12" t="n">
        <f aca="false">IF(IF(IF(ISERROR('Model inputs'!N166&gt;='Model inputs'!AA213),'Model inputs'!N166&gt;='Model inputs'!AA213,IF(OR('Model inputs'!N166="",'Model inputs'!AA213=""),"",'Model inputs'!N166&gt;='Model inputs'!AA213))="",FALSE(),IF(ISERROR('Model inputs'!N166&gt;='Model inputs'!AA213),'Model inputs'!N166&gt;='Model inputs'!AA213,IF(OR('Model inputs'!N166="",'Model inputs'!AA213=""),"",'Model inputs'!N166&gt;='Model inputs'!AA213))),IF('Model inputs'!AA215="","",'Model inputs'!AA215),0)</f>
        <v>0</v>
      </c>
      <c r="O155" s="12" t="n">
        <f aca="false">IF(IF(IF(ISERROR('Model inputs'!O166&gt;='Model inputs'!AA213),'Model inputs'!O166&gt;='Model inputs'!AA213,IF(OR('Model inputs'!O166="",'Model inputs'!AA213=""),"",'Model inputs'!O166&gt;='Model inputs'!AA213))="",FALSE(),IF(ISERROR('Model inputs'!O166&gt;='Model inputs'!AA213),'Model inputs'!O166&gt;='Model inputs'!AA213,IF(OR('Model inputs'!O166="",'Model inputs'!AA213=""),"",'Model inputs'!O166&gt;='Model inputs'!AA213))),IF('Model inputs'!AA215="","",'Model inputs'!AA215),0)</f>
        <v>0</v>
      </c>
      <c r="P155" s="12" t="n">
        <f aca="false">IF(IF(IF(ISERROR('Model inputs'!P166&gt;='Model inputs'!AA213),'Model inputs'!P166&gt;='Model inputs'!AA213,IF(OR('Model inputs'!P166="",'Model inputs'!AA213=""),"",'Model inputs'!P166&gt;='Model inputs'!AA213))="",FALSE(),IF(ISERROR('Model inputs'!P166&gt;='Model inputs'!AA213),'Model inputs'!P166&gt;='Model inputs'!AA213,IF(OR('Model inputs'!P166="",'Model inputs'!AA213=""),"",'Model inputs'!P166&gt;='Model inputs'!AA213))),IF('Model inputs'!AA215="","",'Model inputs'!AA215),0)</f>
        <v>0</v>
      </c>
      <c r="Q155" s="12" t="n">
        <f aca="false">IF(IF(IF(ISERROR('Model inputs'!Q166&gt;='Model inputs'!AA213),'Model inputs'!Q166&gt;='Model inputs'!AA213,IF(OR('Model inputs'!Q166="",'Model inputs'!AA213=""),"",'Model inputs'!Q166&gt;='Model inputs'!AA213))="",FALSE(),IF(ISERROR('Model inputs'!Q166&gt;='Model inputs'!AA213),'Model inputs'!Q166&gt;='Model inputs'!AA213,IF(OR('Model inputs'!Q166="",'Model inputs'!AA213=""),"",'Model inputs'!Q166&gt;='Model inputs'!AA213))),IF('Model inputs'!AA215="","",'Model inputs'!AA215),0)</f>
        <v>0</v>
      </c>
      <c r="R155" s="12" t="n">
        <f aca="false">IF(IF(IF(ISERROR('Model inputs'!R166&gt;='Model inputs'!AA213),'Model inputs'!R166&gt;='Model inputs'!AA213,IF(OR('Model inputs'!R166="",'Model inputs'!AA213=""),"",'Model inputs'!R166&gt;='Model inputs'!AA213))="",FALSE(),IF(ISERROR('Model inputs'!R166&gt;='Model inputs'!AA213),'Model inputs'!R166&gt;='Model inputs'!AA213,IF(OR('Model inputs'!R166="",'Model inputs'!AA213=""),"",'Model inputs'!R166&gt;='Model inputs'!AA213))),IF('Model inputs'!AA215="","",'Model inputs'!AA215),0)</f>
        <v>0</v>
      </c>
      <c r="S155" s="12" t="n">
        <f aca="false">IF(IF(IF(ISERROR('Model inputs'!S166&gt;='Model inputs'!AA213),'Model inputs'!S166&gt;='Model inputs'!AA213,IF(OR('Model inputs'!S166="",'Model inputs'!AA213=""),"",'Model inputs'!S166&gt;='Model inputs'!AA213))="",FALSE(),IF(ISERROR('Model inputs'!S166&gt;='Model inputs'!AA213),'Model inputs'!S166&gt;='Model inputs'!AA213,IF(OR('Model inputs'!S166="",'Model inputs'!AA213=""),"",'Model inputs'!S166&gt;='Model inputs'!AA213))),IF('Model inputs'!AA215="","",'Model inputs'!AA215),0)</f>
        <v>0</v>
      </c>
      <c r="T155" s="12" t="n">
        <f aca="false">IF(IF(IF(ISERROR('Model inputs'!T166&gt;='Model inputs'!AA213),'Model inputs'!T166&gt;='Model inputs'!AA213,IF(OR('Model inputs'!T166="",'Model inputs'!AA213=""),"",'Model inputs'!T166&gt;='Model inputs'!AA213))="",FALSE(),IF(ISERROR('Model inputs'!T166&gt;='Model inputs'!AA213),'Model inputs'!T166&gt;='Model inputs'!AA213,IF(OR('Model inputs'!T166="",'Model inputs'!AA213=""),"",'Model inputs'!T166&gt;='Model inputs'!AA213))),IF('Model inputs'!AA215="","",'Model inputs'!AA215),0)</f>
        <v>0</v>
      </c>
      <c r="U155" s="12" t="n">
        <f aca="false">IF(IF(IF(ISERROR('Model inputs'!U166&gt;='Model inputs'!AA213),'Model inputs'!U166&gt;='Model inputs'!AA213,IF(OR('Model inputs'!U166="",'Model inputs'!AA213=""),"",'Model inputs'!U166&gt;='Model inputs'!AA213))="",FALSE(),IF(ISERROR('Model inputs'!U166&gt;='Model inputs'!AA213),'Model inputs'!U166&gt;='Model inputs'!AA213,IF(OR('Model inputs'!U166="",'Model inputs'!AA213=""),"",'Model inputs'!U166&gt;='Model inputs'!AA213))),IF('Model inputs'!AA215="","",'Model inputs'!AA215),0)</f>
        <v>0</v>
      </c>
      <c r="V155" s="12" t="n">
        <f aca="false">IF(IF(IF(ISERROR('Model inputs'!V166&gt;='Model inputs'!AA213),'Model inputs'!V166&gt;='Model inputs'!AA213,IF(OR('Model inputs'!V166="",'Model inputs'!AA213=""),"",'Model inputs'!V166&gt;='Model inputs'!AA213))="",FALSE(),IF(ISERROR('Model inputs'!V166&gt;='Model inputs'!AA213),'Model inputs'!V166&gt;='Model inputs'!AA213,IF(OR('Model inputs'!V166="",'Model inputs'!AA213=""),"",'Model inputs'!V166&gt;='Model inputs'!AA213))),IF('Model inputs'!AA215="","",'Model inputs'!AA215),0)</f>
        <v>0</v>
      </c>
      <c r="W155" s="12" t="n">
        <f aca="false">IF(IF(IF(ISERROR('Model inputs'!W166&gt;='Model inputs'!AA213),'Model inputs'!W166&gt;='Model inputs'!AA213,IF(OR('Model inputs'!W166="",'Model inputs'!AA213=""),"",'Model inputs'!W166&gt;='Model inputs'!AA213))="",FALSE(),IF(ISERROR('Model inputs'!W166&gt;='Model inputs'!AA213),'Model inputs'!W166&gt;='Model inputs'!AA213,IF(OR('Model inputs'!W166="",'Model inputs'!AA213=""),"",'Model inputs'!W166&gt;='Model inputs'!AA213))),IF('Model inputs'!AA215="","",'Model inputs'!AA215),0)</f>
        <v>0</v>
      </c>
      <c r="X155" s="12" t="n">
        <f aca="false">IF(IF(IF(ISERROR('Model inputs'!X166&gt;='Model inputs'!AA213),'Model inputs'!X166&gt;='Model inputs'!AA213,IF(OR('Model inputs'!X166="",'Model inputs'!AA213=""),"",'Model inputs'!X166&gt;='Model inputs'!AA213))="",FALSE(),IF(ISERROR('Model inputs'!X166&gt;='Model inputs'!AA213),'Model inputs'!X166&gt;='Model inputs'!AA213,IF(OR('Model inputs'!X166="",'Model inputs'!AA213=""),"",'Model inputs'!X166&gt;='Model inputs'!AA213))),IF('Model inputs'!AA215="","",'Model inputs'!AA215),0)</f>
        <v>0</v>
      </c>
      <c r="Y155" s="12" t="n">
        <f aca="false">IF(IF(IF(ISERROR('Model inputs'!Y166&gt;='Model inputs'!AA213),'Model inputs'!Y166&gt;='Model inputs'!AA213,IF(OR('Model inputs'!Y166="",'Model inputs'!AA213=""),"",'Model inputs'!Y166&gt;='Model inputs'!AA213))="",FALSE(),IF(ISERROR('Model inputs'!Y166&gt;='Model inputs'!AA213),'Model inputs'!Y166&gt;='Model inputs'!AA213,IF(OR('Model inputs'!Y166="",'Model inputs'!AA213=""),"",'Model inputs'!Y166&gt;='Model inputs'!AA213))),IF('Model inputs'!AA215="","",'Model inputs'!AA215),0)</f>
        <v>0</v>
      </c>
    </row>
    <row r="156" customFormat="false" ht="18" hidden="false" customHeight="false" outlineLevel="0" collapsed="false">
      <c r="A156" s="27" t="s">
        <v>348</v>
      </c>
      <c r="B156" s="12" t="n">
        <v>0</v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f aca="false">IF(IF(IF(ISERROR('Model inputs'!K167&gt;='Model inputs'!AA214),'Model inputs'!K167&gt;='Model inputs'!AA214,IF(OR('Model inputs'!K167="",'Model inputs'!AA214=""),"",'Model inputs'!K167&gt;='Model inputs'!AA214))="",FALSE(),IF(ISERROR('Model inputs'!K167&gt;='Model inputs'!AA214),'Model inputs'!K167&gt;='Model inputs'!AA214,IF(OR('Model inputs'!K167="",'Model inputs'!AA214=""),"",'Model inputs'!K167&gt;='Model inputs'!AA214))),IF('Model inputs'!AA216="","",'Model inputs'!AA216),0)</f>
        <v>0</v>
      </c>
      <c r="L156" s="12" t="n">
        <f aca="false">IF(IF(IF(ISERROR('Model inputs'!L167&gt;='Model inputs'!AA214),'Model inputs'!L167&gt;='Model inputs'!AA214,IF(OR('Model inputs'!L167="",'Model inputs'!AA214=""),"",'Model inputs'!L167&gt;='Model inputs'!AA214))="",FALSE(),IF(ISERROR('Model inputs'!L167&gt;='Model inputs'!AA214),'Model inputs'!L167&gt;='Model inputs'!AA214,IF(OR('Model inputs'!L167="",'Model inputs'!AA214=""),"",'Model inputs'!L167&gt;='Model inputs'!AA214))),IF('Model inputs'!AA216="","",'Model inputs'!AA216),0)</f>
        <v>0</v>
      </c>
      <c r="M156" s="12" t="n">
        <f aca="false">IF(IF(IF(ISERROR('Model inputs'!M167&gt;='Model inputs'!AA214),'Model inputs'!M167&gt;='Model inputs'!AA214,IF(OR('Model inputs'!M167="",'Model inputs'!AA214=""),"",'Model inputs'!M167&gt;='Model inputs'!AA214))="",FALSE(),IF(ISERROR('Model inputs'!M167&gt;='Model inputs'!AA214),'Model inputs'!M167&gt;='Model inputs'!AA214,IF(OR('Model inputs'!M167="",'Model inputs'!AA214=""),"",'Model inputs'!M167&gt;='Model inputs'!AA214))),IF('Model inputs'!AA216="","",'Model inputs'!AA216),0)</f>
        <v>0</v>
      </c>
      <c r="N156" s="12" t="n">
        <f aca="false">IF(IF(IF(ISERROR('Model inputs'!N167&gt;='Model inputs'!AA214),'Model inputs'!N167&gt;='Model inputs'!AA214,IF(OR('Model inputs'!N167="",'Model inputs'!AA214=""),"",'Model inputs'!N167&gt;='Model inputs'!AA214))="",FALSE(),IF(ISERROR('Model inputs'!N167&gt;='Model inputs'!AA214),'Model inputs'!N167&gt;='Model inputs'!AA214,IF(OR('Model inputs'!N167="",'Model inputs'!AA214=""),"",'Model inputs'!N167&gt;='Model inputs'!AA214))),IF('Model inputs'!AA216="","",'Model inputs'!AA216),0)</f>
        <v>0</v>
      </c>
      <c r="O156" s="12" t="n">
        <f aca="false">IF(IF(IF(ISERROR('Model inputs'!O167&gt;='Model inputs'!AA214),'Model inputs'!O167&gt;='Model inputs'!AA214,IF(OR('Model inputs'!O167="",'Model inputs'!AA214=""),"",'Model inputs'!O167&gt;='Model inputs'!AA214))="",FALSE(),IF(ISERROR('Model inputs'!O167&gt;='Model inputs'!AA214),'Model inputs'!O167&gt;='Model inputs'!AA214,IF(OR('Model inputs'!O167="",'Model inputs'!AA214=""),"",'Model inputs'!O167&gt;='Model inputs'!AA214))),IF('Model inputs'!AA216="","",'Model inputs'!AA216),0)</f>
        <v>0</v>
      </c>
      <c r="P156" s="12" t="n">
        <f aca="false">IF(IF(IF(ISERROR('Model inputs'!P167&gt;='Model inputs'!AA214),'Model inputs'!P167&gt;='Model inputs'!AA214,IF(OR('Model inputs'!P167="",'Model inputs'!AA214=""),"",'Model inputs'!P167&gt;='Model inputs'!AA214))="",FALSE(),IF(ISERROR('Model inputs'!P167&gt;='Model inputs'!AA214),'Model inputs'!P167&gt;='Model inputs'!AA214,IF(OR('Model inputs'!P167="",'Model inputs'!AA214=""),"",'Model inputs'!P167&gt;='Model inputs'!AA214))),IF('Model inputs'!AA216="","",'Model inputs'!AA216),0)</f>
        <v>400</v>
      </c>
      <c r="Q156" s="12" t="n">
        <f aca="false">IF(IF(IF(ISERROR('Model inputs'!Q167&gt;='Model inputs'!AA214),'Model inputs'!Q167&gt;='Model inputs'!AA214,IF(OR('Model inputs'!Q167="",'Model inputs'!AA214=""),"",'Model inputs'!Q167&gt;='Model inputs'!AA214))="",FALSE(),IF(ISERROR('Model inputs'!Q167&gt;='Model inputs'!AA214),'Model inputs'!Q167&gt;='Model inputs'!AA214,IF(OR('Model inputs'!Q167="",'Model inputs'!AA214=""),"",'Model inputs'!Q167&gt;='Model inputs'!AA214))),IF('Model inputs'!AA216="","",'Model inputs'!AA216),0)</f>
        <v>400</v>
      </c>
      <c r="R156" s="12" t="n">
        <f aca="false">IF(IF(IF(ISERROR('Model inputs'!R167&gt;='Model inputs'!AA214),'Model inputs'!R167&gt;='Model inputs'!AA214,IF(OR('Model inputs'!R167="",'Model inputs'!AA214=""),"",'Model inputs'!R167&gt;='Model inputs'!AA214))="",FALSE(),IF(ISERROR('Model inputs'!R167&gt;='Model inputs'!AA214),'Model inputs'!R167&gt;='Model inputs'!AA214,IF(OR('Model inputs'!R167="",'Model inputs'!AA214=""),"",'Model inputs'!R167&gt;='Model inputs'!AA214))),IF('Model inputs'!AA216="","",'Model inputs'!AA216),0)</f>
        <v>400</v>
      </c>
      <c r="S156" s="12" t="n">
        <f aca="false">IF(IF(IF(ISERROR('Model inputs'!S167&gt;='Model inputs'!AA214),'Model inputs'!S167&gt;='Model inputs'!AA214,IF(OR('Model inputs'!S167="",'Model inputs'!AA214=""),"",'Model inputs'!S167&gt;='Model inputs'!AA214))="",FALSE(),IF(ISERROR('Model inputs'!S167&gt;='Model inputs'!AA214),'Model inputs'!S167&gt;='Model inputs'!AA214,IF(OR('Model inputs'!S167="",'Model inputs'!AA214=""),"",'Model inputs'!S167&gt;='Model inputs'!AA214))),IF('Model inputs'!AA216="","",'Model inputs'!AA216),0)</f>
        <v>400</v>
      </c>
      <c r="T156" s="12" t="n">
        <f aca="false">IF(IF(IF(ISERROR('Model inputs'!T167&gt;='Model inputs'!AA214),'Model inputs'!T167&gt;='Model inputs'!AA214,IF(OR('Model inputs'!T167="",'Model inputs'!AA214=""),"",'Model inputs'!T167&gt;='Model inputs'!AA214))="",FALSE(),IF(ISERROR('Model inputs'!T167&gt;='Model inputs'!AA214),'Model inputs'!T167&gt;='Model inputs'!AA214,IF(OR('Model inputs'!T167="",'Model inputs'!AA214=""),"",'Model inputs'!T167&gt;='Model inputs'!AA214))),IF('Model inputs'!AA216="","",'Model inputs'!AA216),0)</f>
        <v>400</v>
      </c>
      <c r="U156" s="12" t="n">
        <f aca="false">IF(IF(IF(ISERROR('Model inputs'!U167&gt;='Model inputs'!AA214),'Model inputs'!U167&gt;='Model inputs'!AA214,IF(OR('Model inputs'!U167="",'Model inputs'!AA214=""),"",'Model inputs'!U167&gt;='Model inputs'!AA214))="",FALSE(),IF(ISERROR('Model inputs'!U167&gt;='Model inputs'!AA214),'Model inputs'!U167&gt;='Model inputs'!AA214,IF(OR('Model inputs'!U167="",'Model inputs'!AA214=""),"",'Model inputs'!U167&gt;='Model inputs'!AA214))),IF('Model inputs'!AA216="","",'Model inputs'!AA216),0)</f>
        <v>400</v>
      </c>
      <c r="V156" s="12" t="n">
        <f aca="false">IF(IF(IF(ISERROR('Model inputs'!V167&gt;='Model inputs'!AA214),'Model inputs'!V167&gt;='Model inputs'!AA214,IF(OR('Model inputs'!V167="",'Model inputs'!AA214=""),"",'Model inputs'!V167&gt;='Model inputs'!AA214))="",FALSE(),IF(ISERROR('Model inputs'!V167&gt;='Model inputs'!AA214),'Model inputs'!V167&gt;='Model inputs'!AA214,IF(OR('Model inputs'!V167="",'Model inputs'!AA214=""),"",'Model inputs'!V167&gt;='Model inputs'!AA214))),IF('Model inputs'!AA216="","",'Model inputs'!AA216),0)</f>
        <v>400</v>
      </c>
      <c r="W156" s="12" t="n">
        <f aca="false">IF(IF(IF(ISERROR('Model inputs'!W167&gt;='Model inputs'!AA214),'Model inputs'!W167&gt;='Model inputs'!AA214,IF(OR('Model inputs'!W167="",'Model inputs'!AA214=""),"",'Model inputs'!W167&gt;='Model inputs'!AA214))="",FALSE(),IF(ISERROR('Model inputs'!W167&gt;='Model inputs'!AA214),'Model inputs'!W167&gt;='Model inputs'!AA214,IF(OR('Model inputs'!W167="",'Model inputs'!AA214=""),"",'Model inputs'!W167&gt;='Model inputs'!AA214))),IF('Model inputs'!AA216="","",'Model inputs'!AA216),0)</f>
        <v>400</v>
      </c>
      <c r="X156" s="12" t="n">
        <f aca="false">IF(IF(IF(ISERROR('Model inputs'!X167&gt;='Model inputs'!AA214),'Model inputs'!X167&gt;='Model inputs'!AA214,IF(OR('Model inputs'!X167="",'Model inputs'!AA214=""),"",'Model inputs'!X167&gt;='Model inputs'!AA214))="",FALSE(),IF(ISERROR('Model inputs'!X167&gt;='Model inputs'!AA214),'Model inputs'!X167&gt;='Model inputs'!AA214,IF(OR('Model inputs'!X167="",'Model inputs'!AA214=""),"",'Model inputs'!X167&gt;='Model inputs'!AA214))),IF('Model inputs'!AA216="","",'Model inputs'!AA216),0)</f>
        <v>400</v>
      </c>
      <c r="Y156" s="12" t="n">
        <f aca="false">IF(IF(IF(ISERROR('Model inputs'!Y167&gt;='Model inputs'!AA214),'Model inputs'!Y167&gt;='Model inputs'!AA214,IF(OR('Model inputs'!Y167="",'Model inputs'!AA214=""),"",'Model inputs'!Y167&gt;='Model inputs'!AA214))="",FALSE(),IF(ISERROR('Model inputs'!Y167&gt;='Model inputs'!AA214),'Model inputs'!Y167&gt;='Model inputs'!AA214,IF(OR('Model inputs'!Y167="",'Model inputs'!AA214=""),"",'Model inputs'!Y167&gt;='Model inputs'!AA214))),IF('Model inputs'!AA216="","",'Model inputs'!AA216),0)</f>
        <v>400</v>
      </c>
    </row>
    <row r="157" customFormat="false" ht="18" hidden="false" customHeight="false" outlineLevel="0" collapsed="false">
      <c r="A157" s="27" t="s">
        <v>349</v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f aca="false">IF(MONTH(DATE(2026,10,1))=10,IF('Model inputs'!AA209="","",'Model inputs'!AA209),0)</f>
        <v>3000</v>
      </c>
      <c r="L157" s="12" t="n">
        <f aca="false">IF(MONTH(DATE(2026,11,1))=10,IF('Model inputs'!AA209="","",'Model inputs'!AA209),0)</f>
        <v>0</v>
      </c>
      <c r="M157" s="12" t="n">
        <f aca="false">IF(MONTH(DATE(2026,12,1))=10,IF('Model inputs'!AA209="","",'Model inputs'!AA209),0)</f>
        <v>0</v>
      </c>
      <c r="N157" s="12" t="n">
        <f aca="false">IF(MONTH(DATE(2027,1,1))=10,IF('Model inputs'!AA209="","",'Model inputs'!AA209),0)</f>
        <v>0</v>
      </c>
      <c r="O157" s="12" t="n">
        <f aca="false">IF(MONTH(DATE(2027,2,1))=10,IF('Model inputs'!AA209="","",'Model inputs'!AA209),0)</f>
        <v>0</v>
      </c>
      <c r="P157" s="12" t="n">
        <f aca="false">IF(MONTH(DATE(2027,3,1))=10,IF('Model inputs'!AA209="","",'Model inputs'!AA209),0)</f>
        <v>0</v>
      </c>
      <c r="Q157" s="12" t="n">
        <f aca="false">IF(MONTH(DATE(2027,4,1))=10,IF('Model inputs'!AA209="","",'Model inputs'!AA209),0)</f>
        <v>0</v>
      </c>
      <c r="R157" s="12" t="n">
        <f aca="false">IF(MONTH(DATE(2027,5,1))=10,IF('Model inputs'!AA209="","",'Model inputs'!AA209),0)</f>
        <v>0</v>
      </c>
      <c r="S157" s="12" t="n">
        <f aca="false">IF(MONTH(DATE(2027,6,1))=10,IF('Model inputs'!AA209="","",'Model inputs'!AA209),0)</f>
        <v>0</v>
      </c>
      <c r="T157" s="12" t="n">
        <f aca="false">IF(MONTH(DATE(2027,7,1))=10,IF('Model inputs'!AA209="","",'Model inputs'!AA209),0)</f>
        <v>0</v>
      </c>
      <c r="U157" s="12" t="n">
        <f aca="false">IF(MONTH(DATE(2027,8,1))=10,IF('Model inputs'!AA209="","",'Model inputs'!AA209),0)</f>
        <v>0</v>
      </c>
      <c r="V157" s="12" t="n">
        <f aca="false">IF(MONTH(DATE(2027,9,1))=10,IF('Model inputs'!AA209="","",'Model inputs'!AA209),0)</f>
        <v>0</v>
      </c>
      <c r="W157" s="12" t="n">
        <f aca="false">IF(MONTH(DATE(2027,10,1))=10,IF('Model inputs'!AA209="","",'Model inputs'!AA209),0)</f>
        <v>3000</v>
      </c>
      <c r="X157" s="12" t="n">
        <f aca="false">IF(MONTH(DATE(2027,11,1))=10,IF('Model inputs'!AA209="","",'Model inputs'!AA209),0)</f>
        <v>0</v>
      </c>
      <c r="Y157" s="12" t="n">
        <f aca="false">IF(MONTH(DATE(2027,12,1))=10,IF('Model inputs'!AA209="","",'Model inputs'!AA209),0)</f>
        <v>0</v>
      </c>
    </row>
    <row r="158" customFormat="false" ht="18" hidden="false" customHeight="false" outlineLevel="0" collapsed="false">
      <c r="A158" s="27" t="s">
        <v>350</v>
      </c>
      <c r="B158" s="12" t="n">
        <v>0</v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f aca="false">IF(MONTH(DATE(2026,10,1))=10,IF('Model inputs'!AA210="","",'Model inputs'!AA210),0)</f>
        <v>3000</v>
      </c>
      <c r="L158" s="12" t="n">
        <f aca="false">IF(MONTH(DATE(2026,11,1))=10,IF('Model inputs'!AA210="","",'Model inputs'!AA210),0)</f>
        <v>0</v>
      </c>
      <c r="M158" s="12" t="n">
        <f aca="false">IF(MONTH(DATE(2026,12,1))=10,IF('Model inputs'!AA210="","",'Model inputs'!AA210),0)</f>
        <v>0</v>
      </c>
      <c r="N158" s="12" t="n">
        <f aca="false">IF(MONTH(DATE(2027,1,1))=10,IF('Model inputs'!AA210="","",'Model inputs'!AA210),0)</f>
        <v>0</v>
      </c>
      <c r="O158" s="12" t="n">
        <f aca="false">IF(MONTH(DATE(2027,2,1))=10,IF('Model inputs'!AA210="","",'Model inputs'!AA210),0)</f>
        <v>0</v>
      </c>
      <c r="P158" s="12" t="n">
        <f aca="false">IF(MONTH(DATE(2027,3,1))=10,IF('Model inputs'!AA210="","",'Model inputs'!AA210),0)</f>
        <v>0</v>
      </c>
      <c r="Q158" s="12" t="n">
        <f aca="false">IF(MONTH(DATE(2027,4,1))=10,IF('Model inputs'!AA210="","",'Model inputs'!AA210),0)</f>
        <v>0</v>
      </c>
      <c r="R158" s="12" t="n">
        <f aca="false">IF(MONTH(DATE(2027,5,1))=10,IF('Model inputs'!AA210="","",'Model inputs'!AA210),0)</f>
        <v>0</v>
      </c>
      <c r="S158" s="12" t="n">
        <f aca="false">IF(MONTH(DATE(2027,6,1))=10,IF('Model inputs'!AA210="","",'Model inputs'!AA210),0)</f>
        <v>0</v>
      </c>
      <c r="T158" s="12" t="n">
        <f aca="false">IF(MONTH(DATE(2027,7,1))=10,IF('Model inputs'!AA210="","",'Model inputs'!AA210),0)</f>
        <v>0</v>
      </c>
      <c r="U158" s="12" t="n">
        <f aca="false">IF(MONTH(DATE(2027,8,1))=10,IF('Model inputs'!AA210="","",'Model inputs'!AA210),0)</f>
        <v>0</v>
      </c>
      <c r="V158" s="12" t="n">
        <f aca="false">IF(MONTH(DATE(2027,9,1))=10,IF('Model inputs'!AA210="","",'Model inputs'!AA210),0)</f>
        <v>0</v>
      </c>
      <c r="W158" s="12" t="n">
        <f aca="false">IF(MONTH(DATE(2027,10,1))=10,IF('Model inputs'!AA210="","",'Model inputs'!AA210),0)</f>
        <v>3000</v>
      </c>
      <c r="X158" s="12" t="n">
        <f aca="false">IF(MONTH(DATE(2027,11,1))=10,IF('Model inputs'!AA210="","",'Model inputs'!AA210),0)</f>
        <v>0</v>
      </c>
      <c r="Y158" s="12" t="n">
        <f aca="false">IF(MONTH(DATE(2027,12,1))=10,IF('Model inputs'!AA210="","",'Model inputs'!AA210),0)</f>
        <v>0</v>
      </c>
    </row>
    <row r="159" customFormat="false" ht="18" hidden="false" customHeight="false" outlineLevel="0" collapsed="false">
      <c r="A159" s="27" t="s">
        <v>351</v>
      </c>
      <c r="B159" s="12" t="n">
        <v>0</v>
      </c>
      <c r="C159" s="12" t="n">
        <v>0</v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f aca="false">'Model inputs'!AA209/12</f>
        <v>250</v>
      </c>
      <c r="L159" s="12" t="n">
        <f aca="false">'Model inputs'!AA209/12</f>
        <v>250</v>
      </c>
      <c r="M159" s="12" t="n">
        <f aca="false">'Model inputs'!AA209/12</f>
        <v>250</v>
      </c>
      <c r="N159" s="12" t="n">
        <f aca="false">'Model inputs'!AA209/12</f>
        <v>250</v>
      </c>
      <c r="O159" s="12" t="n">
        <f aca="false">'Model inputs'!AA209/12</f>
        <v>250</v>
      </c>
      <c r="P159" s="12" t="n">
        <f aca="false">'Model inputs'!AA209/12</f>
        <v>250</v>
      </c>
      <c r="Q159" s="12" t="n">
        <f aca="false">'Model inputs'!AA209/12</f>
        <v>250</v>
      </c>
      <c r="R159" s="12" t="n">
        <f aca="false">'Model inputs'!AA209/12</f>
        <v>250</v>
      </c>
      <c r="S159" s="12" t="n">
        <f aca="false">'Model inputs'!AA209/12</f>
        <v>250</v>
      </c>
      <c r="T159" s="12" t="n">
        <f aca="false">'Model inputs'!AA209/12</f>
        <v>250</v>
      </c>
      <c r="U159" s="12" t="n">
        <f aca="false">'Model inputs'!AA209/12</f>
        <v>250</v>
      </c>
      <c r="V159" s="12" t="n">
        <f aca="false">'Model inputs'!AA209/12</f>
        <v>250</v>
      </c>
      <c r="W159" s="12" t="n">
        <f aca="false">'Model inputs'!AA209/12</f>
        <v>250</v>
      </c>
      <c r="X159" s="12" t="n">
        <f aca="false">'Model inputs'!AA209/12</f>
        <v>250</v>
      </c>
      <c r="Y159" s="12" t="n">
        <f aca="false">'Model inputs'!AA209/12</f>
        <v>250</v>
      </c>
    </row>
    <row r="160" customFormat="false" ht="18" hidden="false" customHeight="false" outlineLevel="0" collapsed="false">
      <c r="A160" s="27" t="s">
        <v>352</v>
      </c>
      <c r="B160" s="12" t="n">
        <v>0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f aca="false">'Model inputs'!AA210/12</f>
        <v>250</v>
      </c>
      <c r="L160" s="12" t="n">
        <f aca="false">'Model inputs'!AA210/12</f>
        <v>250</v>
      </c>
      <c r="M160" s="12" t="n">
        <f aca="false">'Model inputs'!AA210/12</f>
        <v>250</v>
      </c>
      <c r="N160" s="12" t="n">
        <f aca="false">'Model inputs'!AA210/12</f>
        <v>250</v>
      </c>
      <c r="O160" s="12" t="n">
        <f aca="false">'Model inputs'!AA210/12</f>
        <v>250</v>
      </c>
      <c r="P160" s="12" t="n">
        <f aca="false">'Model inputs'!AA210/12</f>
        <v>250</v>
      </c>
      <c r="Q160" s="12" t="n">
        <f aca="false">'Model inputs'!AA210/12</f>
        <v>250</v>
      </c>
      <c r="R160" s="12" t="n">
        <f aca="false">'Model inputs'!AA210/12</f>
        <v>250</v>
      </c>
      <c r="S160" s="12" t="n">
        <f aca="false">'Model inputs'!AA210/12</f>
        <v>250</v>
      </c>
      <c r="T160" s="12" t="n">
        <f aca="false">'Model inputs'!AA210/12</f>
        <v>250</v>
      </c>
      <c r="U160" s="12" t="n">
        <f aca="false">'Model inputs'!AA210/12</f>
        <v>250</v>
      </c>
      <c r="V160" s="12" t="n">
        <f aca="false">'Model inputs'!AA210/12</f>
        <v>250</v>
      </c>
      <c r="W160" s="12" t="n">
        <f aca="false">'Model inputs'!AA210/12</f>
        <v>250</v>
      </c>
      <c r="X160" s="12" t="n">
        <f aca="false">'Model inputs'!AA210/12</f>
        <v>250</v>
      </c>
      <c r="Y160" s="12" t="n">
        <f aca="false">'Model inputs'!AA210/12</f>
        <v>250</v>
      </c>
    </row>
    <row r="161" customFormat="false" ht="18" hidden="false" customHeight="false" outlineLevel="0" collapsed="false">
      <c r="A161" s="27" t="s">
        <v>353</v>
      </c>
      <c r="B161" s="22" t="n">
        <v>0</v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f aca="false">IF('Model inputs'!J144="","",'Model inputs'!J144)</f>
        <v>0</v>
      </c>
      <c r="K161" s="22" t="n">
        <f aca="false">IF('Model inputs'!K144="","",'Model inputs'!K144)</f>
        <v>6</v>
      </c>
      <c r="L161" s="22" t="n">
        <f aca="false">IF('Model inputs'!L144="","",'Model inputs'!L144)</f>
        <v>12.12</v>
      </c>
      <c r="M161" s="22" t="n">
        <f aca="false">IF('Model inputs'!M144="","",'Model inputs'!M144)</f>
        <v>18.3714</v>
      </c>
      <c r="N161" s="22" t="n">
        <f aca="false">IF('Model inputs'!N144="","",'Model inputs'!N144)</f>
        <v>24.766008</v>
      </c>
      <c r="O161" s="22" t="n">
        <f aca="false">IF('Model inputs'!O144="","",'Model inputs'!O144)</f>
        <v>31.31606526</v>
      </c>
      <c r="P161" s="22" t="n">
        <f aca="false">IF('Model inputs'!P144="","",'Model inputs'!P144)</f>
        <v>38.0342726772</v>
      </c>
      <c r="Q161" s="22" t="n">
        <f aca="false">IF('Model inputs'!Q144="","",'Model inputs'!Q144)</f>
        <v>44.933818340634</v>
      </c>
      <c r="R161" s="22" t="n">
        <f aca="false">IF('Model inputs'!R144="","",'Model inputs'!R144)</f>
        <v>52.0284063263525</v>
      </c>
      <c r="S161" s="22" t="n">
        <f aca="false">IF('Model inputs'!S144="","",'Model inputs'!S144)</f>
        <v>59.3322867992963</v>
      </c>
      <c r="T161" s="22" t="n">
        <f aca="false">IF('Model inputs'!T144="","",'Model inputs'!T144)</f>
        <v>66.8602874911885</v>
      </c>
      <c r="U161" s="22" t="n">
        <f aca="false">IF('Model inputs'!U144="","",'Model inputs'!U144)</f>
        <v>74.6278466271175</v>
      </c>
      <c r="V161" s="22" t="n">
        <f aca="false">IF('Model inputs'!V144="","",'Model inputs'!V144)</f>
        <v>82.6510473770019</v>
      </c>
      <c r="W161" s="22" t="n">
        <f aca="false">IF('Model inputs'!W144="","",'Model inputs'!W144)</f>
        <v>90.9466539118246</v>
      </c>
      <c r="X161" s="22" t="n">
        <f aca="false">IF('Model inputs'!X144="","",'Model inputs'!X144)</f>
        <v>99.5321491484093</v>
      </c>
      <c r="Y161" s="22" t="n">
        <f aca="false">IF('Model inputs'!Y144="","",'Model inputs'!Y144)</f>
        <v>108.425774270593</v>
      </c>
    </row>
    <row r="162" customFormat="false" ht="18" hidden="false" customHeight="false" outlineLevel="0" collapsed="false">
      <c r="A162" s="27" t="s">
        <v>354</v>
      </c>
      <c r="B162" s="22" t="n">
        <v>0</v>
      </c>
      <c r="C162" s="22" t="n">
        <v>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0</v>
      </c>
      <c r="J162" s="22" t="n">
        <v>0</v>
      </c>
      <c r="K162" s="22" t="n">
        <f aca="false">'Model inputs'!K166*'Model inputs'!AA225</f>
        <v>2</v>
      </c>
      <c r="L162" s="22" t="n">
        <f aca="false">'Model inputs'!L166*'Model inputs'!AA225</f>
        <v>3.9</v>
      </c>
      <c r="M162" s="22" t="n">
        <f aca="false">'Model inputs'!M166*'Model inputs'!AA225</f>
        <v>5.705</v>
      </c>
      <c r="N162" s="22" t="n">
        <f aca="false">'Model inputs'!N166*'Model inputs'!AA225</f>
        <v>7.41975</v>
      </c>
      <c r="O162" s="22" t="n">
        <f aca="false">'Model inputs'!O166*'Model inputs'!AA225</f>
        <v>9.0487625</v>
      </c>
      <c r="P162" s="22" t="n">
        <f aca="false">'Model inputs'!P166*'Model inputs'!AA225</f>
        <v>10.596324375</v>
      </c>
      <c r="Q162" s="22" t="n">
        <f aca="false">'Model inputs'!Q166*'Model inputs'!AA225</f>
        <v>12.06650815625</v>
      </c>
      <c r="R162" s="22" t="n">
        <f aca="false">'Model inputs'!R166*'Model inputs'!AA225</f>
        <v>13.4631827484375</v>
      </c>
      <c r="S162" s="22" t="n">
        <f aca="false">'Model inputs'!S166*'Model inputs'!AA225</f>
        <v>14.7900236110156</v>
      </c>
      <c r="T162" s="22" t="n">
        <f aca="false">'Model inputs'!T166*'Model inputs'!AA225</f>
        <v>16.0505224304648</v>
      </c>
      <c r="U162" s="22" t="n">
        <f aca="false">'Model inputs'!U166*'Model inputs'!AA225</f>
        <v>17.2479963089416</v>
      </c>
      <c r="V162" s="22" t="n">
        <f aca="false">'Model inputs'!V166*'Model inputs'!AA225</f>
        <v>18.3855964934945</v>
      </c>
      <c r="W162" s="22" t="n">
        <f aca="false">'Model inputs'!W166*'Model inputs'!AA225</f>
        <v>19.4663166688198</v>
      </c>
      <c r="X162" s="22" t="n">
        <f aca="false">'Model inputs'!X166*'Model inputs'!AA225</f>
        <v>20.4930008353788</v>
      </c>
      <c r="Y162" s="22" t="n">
        <f aca="false">'Model inputs'!Y166*'Model inputs'!AA225</f>
        <v>21.4683507936099</v>
      </c>
    </row>
    <row r="163" customFormat="false" ht="18" hidden="false" customHeight="false" outlineLevel="0" collapsed="false">
      <c r="A163" s="27" t="s">
        <v>355</v>
      </c>
      <c r="B163" s="22" t="n">
        <v>0</v>
      </c>
      <c r="C163" s="22" t="n">
        <v>0</v>
      </c>
      <c r="D163" s="22" t="n">
        <v>0</v>
      </c>
      <c r="E163" s="22" t="n">
        <v>0</v>
      </c>
      <c r="F163" s="22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f aca="false">'Model inputs'!K167*'Model inputs'!AA226</f>
        <v>16</v>
      </c>
      <c r="L163" s="22" t="n">
        <f aca="false">'Model inputs'!L167*'Model inputs'!AA226</f>
        <v>33.28</v>
      </c>
      <c r="M163" s="22" t="n">
        <f aca="false">'Model inputs'!M167*'Model inputs'!AA226</f>
        <v>51.9744</v>
      </c>
      <c r="N163" s="22" t="n">
        <f aca="false">'Model inputs'!N167*'Model inputs'!AA226</f>
        <v>72.230912</v>
      </c>
      <c r="O163" s="22" t="n">
        <f aca="false">'Model inputs'!O167*'Model inputs'!AA226</f>
        <v>94.21189376</v>
      </c>
      <c r="P163" s="22" t="n">
        <f aca="false">'Model inputs'!P167*'Model inputs'!AA226</f>
        <v>118.0958158848</v>
      </c>
      <c r="Q163" s="22" t="n">
        <f aca="false">'Model inputs'!Q167*'Model inputs'!AA226</f>
        <v>144.078875567104</v>
      </c>
      <c r="R163" s="22" t="n">
        <f aca="false">'Model inputs'!R167*'Model inputs'!AA226</f>
        <v>172.376771655762</v>
      </c>
      <c r="S163" s="22" t="n">
        <f aca="false">'Model inputs'!S167*'Model inputs'!AA226</f>
        <v>203.226657182647</v>
      </c>
      <c r="T163" s="22" t="n">
        <f aca="false">'Model inputs'!T167*'Model inputs'!AA226</f>
        <v>236.889287094994</v>
      </c>
      <c r="U163" s="22" t="n">
        <f aca="false">'Model inputs'!U167*'Model inputs'!AA226</f>
        <v>273.651380714694</v>
      </c>
      <c r="V163" s="22" t="n">
        <f aca="false">'Model inputs'!V167*'Model inputs'!AA226</f>
        <v>313.82822039816</v>
      </c>
      <c r="W163" s="22" t="n">
        <f aca="false">'Model inputs'!W167*'Model inputs'!AA226</f>
        <v>357.766510017733</v>
      </c>
      <c r="X163" s="22" t="n">
        <f aca="false">'Model inputs'!X167*'Model inputs'!AA226</f>
        <v>405.847519247668</v>
      </c>
      <c r="Y163" s="22" t="n">
        <f aca="false">'Model inputs'!Y167*'Model inputs'!AA226</f>
        <v>458.490542236033</v>
      </c>
    </row>
    <row r="164" customFormat="false" ht="18" hidden="false" customHeight="false" outlineLevel="0" collapsed="false">
      <c r="A164" s="27" t="s">
        <v>356</v>
      </c>
      <c r="B164" s="12" t="n">
        <v>0</v>
      </c>
      <c r="C164" s="12" t="n">
        <v>0</v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f aca="false">'Model inputs'!K166*'Model inputs'!AA35</f>
        <v>29</v>
      </c>
      <c r="L164" s="12" t="n">
        <f aca="false">'Model inputs'!L166*'Model inputs'!AA35</f>
        <v>56.55</v>
      </c>
      <c r="M164" s="12" t="n">
        <f aca="false">'Model inputs'!M166*'Model inputs'!AA35</f>
        <v>82.7225</v>
      </c>
      <c r="N164" s="12" t="n">
        <f aca="false">'Model inputs'!N166*'Model inputs'!AA35</f>
        <v>107.586375</v>
      </c>
      <c r="O164" s="12" t="n">
        <f aca="false">'Model inputs'!O166*'Model inputs'!AA35</f>
        <v>131.20705625</v>
      </c>
      <c r="P164" s="12" t="n">
        <f aca="false">'Model inputs'!P166*'Model inputs'!AA35</f>
        <v>153.6467034375</v>
      </c>
      <c r="Q164" s="12" t="n">
        <f aca="false">'Model inputs'!Q166*'Model inputs'!AA35</f>
        <v>174.964368265625</v>
      </c>
      <c r="R164" s="12" t="n">
        <f aca="false">'Model inputs'!R166*'Model inputs'!AA35</f>
        <v>195.216149852344</v>
      </c>
      <c r="S164" s="12" t="n">
        <f aca="false">'Model inputs'!S166*'Model inputs'!AA35</f>
        <v>214.455342359727</v>
      </c>
      <c r="T164" s="12" t="n">
        <f aca="false">'Model inputs'!T166*'Model inputs'!AA35</f>
        <v>232.73257524174</v>
      </c>
      <c r="U164" s="12" t="n">
        <f aca="false">'Model inputs'!U166*'Model inputs'!AA35</f>
        <v>250.095946479653</v>
      </c>
      <c r="V164" s="12" t="n">
        <f aca="false">'Model inputs'!V166*'Model inputs'!AA35</f>
        <v>266.591149155671</v>
      </c>
      <c r="W164" s="12" t="n">
        <f aca="false">'Model inputs'!W166*'Model inputs'!AA35</f>
        <v>282.261591697887</v>
      </c>
      <c r="X164" s="12" t="n">
        <f aca="false">'Model inputs'!X166*'Model inputs'!AA35</f>
        <v>297.148512112993</v>
      </c>
      <c r="Y164" s="12" t="n">
        <f aca="false">'Model inputs'!Y166*'Model inputs'!AA35</f>
        <v>311.291086507343</v>
      </c>
    </row>
    <row r="165" customFormat="false" ht="18" hidden="false" customHeight="false" outlineLevel="0" collapsed="false">
      <c r="A165" s="27" t="s">
        <v>357</v>
      </c>
      <c r="B165" s="12" t="n">
        <v>0</v>
      </c>
      <c r="C165" s="12" t="n">
        <v>0</v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f aca="false">'Model inputs'!K167*'Model inputs'!AA36</f>
        <v>232</v>
      </c>
      <c r="L165" s="12" t="n">
        <f aca="false">'Model inputs'!L167*'Model inputs'!AA36</f>
        <v>482.56</v>
      </c>
      <c r="M165" s="12" t="n">
        <f aca="false">'Model inputs'!M167*'Model inputs'!AA36</f>
        <v>753.6288</v>
      </c>
      <c r="N165" s="12" t="n">
        <f aca="false">'Model inputs'!N167*'Model inputs'!AA36</f>
        <v>1047.348224</v>
      </c>
      <c r="O165" s="12" t="n">
        <f aca="false">'Model inputs'!O167*'Model inputs'!AA36</f>
        <v>1366.07245952</v>
      </c>
      <c r="P165" s="12" t="n">
        <f aca="false">'Model inputs'!P167*'Model inputs'!AA36</f>
        <v>1712.3893303296</v>
      </c>
      <c r="Q165" s="12" t="n">
        <f aca="false">'Model inputs'!Q167*'Model inputs'!AA36</f>
        <v>2089.14369572301</v>
      </c>
      <c r="R165" s="12" t="n">
        <f aca="false">'Model inputs'!R167*'Model inputs'!AA36</f>
        <v>2499.46318900855</v>
      </c>
      <c r="S165" s="12" t="n">
        <f aca="false">'Model inputs'!S167*'Model inputs'!AA36</f>
        <v>2946.78652914838</v>
      </c>
      <c r="T165" s="12" t="n">
        <f aca="false">'Model inputs'!T167*'Model inputs'!AA36</f>
        <v>3434.89466287741</v>
      </c>
      <c r="U165" s="12" t="n">
        <f aca="false">'Model inputs'!U167*'Model inputs'!AA36</f>
        <v>3967.94502036306</v>
      </c>
      <c r="V165" s="12" t="n">
        <f aca="false">'Model inputs'!V167*'Model inputs'!AA36</f>
        <v>4550.50919577332</v>
      </c>
      <c r="W165" s="12" t="n">
        <f aca="false">'Model inputs'!W167*'Model inputs'!AA36</f>
        <v>5187.61439525713</v>
      </c>
      <c r="X165" s="12" t="n">
        <f aca="false">'Model inputs'!X167*'Model inputs'!AA36</f>
        <v>5884.78902909119</v>
      </c>
      <c r="Y165" s="12" t="n">
        <f aca="false">'Model inputs'!Y167*'Model inputs'!AA36</f>
        <v>6648.11286242248</v>
      </c>
    </row>
    <row r="166" customFormat="false" ht="18" hidden="false" customHeight="false" outlineLevel="0" collapsed="false">
      <c r="A166" s="27" t="s">
        <v>358</v>
      </c>
      <c r="B166" s="22" t="n">
        <v>0</v>
      </c>
      <c r="C166" s="22" t="n">
        <v>0</v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f aca="false">'Model inputs'!J40</f>
        <v>0</v>
      </c>
      <c r="K166" s="22" t="n">
        <f aca="false">IF('Model inputs'!K7="","",'Model inputs'!K7)</f>
        <v>1</v>
      </c>
      <c r="L166" s="22" t="n">
        <f aca="false">IF('Model inputs'!L7="","",'Model inputs'!L7)</f>
        <v>1.95</v>
      </c>
      <c r="M166" s="22" t="n">
        <f aca="false">IF('Model inputs'!M7="","",'Model inputs'!M7)</f>
        <v>2.8525</v>
      </c>
      <c r="N166" s="22" t="n">
        <f aca="false">IF('Model inputs'!N7="","",'Model inputs'!N7)</f>
        <v>3.709875</v>
      </c>
      <c r="O166" s="22" t="n">
        <f aca="false">IF('Model inputs'!O7="","",'Model inputs'!O7)</f>
        <v>4.52438125</v>
      </c>
      <c r="P166" s="22" t="n">
        <f aca="false">IF('Model inputs'!P7="","",'Model inputs'!P7)</f>
        <v>5.2981621875</v>
      </c>
      <c r="Q166" s="22" t="n">
        <f aca="false">IF('Model inputs'!Q7="","",'Model inputs'!Q7)</f>
        <v>6.033254078125</v>
      </c>
      <c r="R166" s="22" t="n">
        <f aca="false">IF('Model inputs'!R7="","",'Model inputs'!R7)</f>
        <v>6.73159137421875</v>
      </c>
      <c r="S166" s="22" t="n">
        <f aca="false">IF('Model inputs'!S7="","",'Model inputs'!S7)</f>
        <v>7.39501180550781</v>
      </c>
      <c r="T166" s="22" t="n">
        <f aca="false">IF('Model inputs'!T7="","",'Model inputs'!T7)</f>
        <v>8.02526121523242</v>
      </c>
      <c r="U166" s="22" t="n">
        <f aca="false">IF('Model inputs'!U7="","",'Model inputs'!U7)</f>
        <v>8.6239981544708</v>
      </c>
      <c r="V166" s="22" t="n">
        <f aca="false">IF('Model inputs'!V7="","",'Model inputs'!V7)</f>
        <v>9.19279824674726</v>
      </c>
      <c r="W166" s="22" t="n">
        <f aca="false">IF('Model inputs'!W7="","",'Model inputs'!W7)</f>
        <v>9.7331583344099</v>
      </c>
      <c r="X166" s="22" t="n">
        <f aca="false">IF('Model inputs'!X7="","",'Model inputs'!X7)</f>
        <v>10.2465004176894</v>
      </c>
      <c r="Y166" s="22" t="n">
        <f aca="false">IF('Model inputs'!Y7="","",'Model inputs'!Y7)</f>
        <v>10.7341753968049</v>
      </c>
    </row>
    <row r="167" customFormat="false" ht="18" hidden="false" customHeight="false" outlineLevel="0" collapsed="false">
      <c r="A167" s="27" t="s">
        <v>359</v>
      </c>
      <c r="B167" s="22" t="n">
        <v>0</v>
      </c>
      <c r="C167" s="22" t="n">
        <v>0</v>
      </c>
      <c r="D167" s="22" t="n">
        <v>0</v>
      </c>
      <c r="E167" s="22" t="n">
        <v>0</v>
      </c>
      <c r="F167" s="22" t="n">
        <v>0</v>
      </c>
      <c r="G167" s="22" t="n">
        <v>0</v>
      </c>
      <c r="H167" s="22" t="n">
        <v>0</v>
      </c>
      <c r="I167" s="22" t="n">
        <v>0</v>
      </c>
      <c r="J167" s="22" t="n">
        <f aca="false">'Model inputs'!J40</f>
        <v>0</v>
      </c>
      <c r="K167" s="22" t="n">
        <f aca="false">IF('Model inputs'!K8="","",'Model inputs'!K8)</f>
        <v>8</v>
      </c>
      <c r="L167" s="22" t="n">
        <f aca="false">IF('Model inputs'!L8="","",'Model inputs'!L8)</f>
        <v>16.64</v>
      </c>
      <c r="M167" s="22" t="n">
        <f aca="false">IF('Model inputs'!M8="","",'Model inputs'!M8)</f>
        <v>25.9872</v>
      </c>
      <c r="N167" s="22" t="n">
        <f aca="false">IF('Model inputs'!N8="","",'Model inputs'!N8)</f>
        <v>36.115456</v>
      </c>
      <c r="O167" s="22" t="n">
        <f aca="false">IF('Model inputs'!O8="","",'Model inputs'!O8)</f>
        <v>47.10594688</v>
      </c>
      <c r="P167" s="22" t="n">
        <f aca="false">IF('Model inputs'!P8="","",'Model inputs'!P8)</f>
        <v>59.0479079424</v>
      </c>
      <c r="Q167" s="22" t="n">
        <f aca="false">IF('Model inputs'!Q8="","",'Model inputs'!Q8)</f>
        <v>72.039437783552</v>
      </c>
      <c r="R167" s="22" t="n">
        <f aca="false">IF('Model inputs'!R8="","",'Model inputs'!R8)</f>
        <v>86.188385827881</v>
      </c>
      <c r="S167" s="22" t="n">
        <f aca="false">IF('Model inputs'!S8="","",'Model inputs'!S8)</f>
        <v>101.613328591323</v>
      </c>
      <c r="T167" s="22" t="n">
        <f aca="false">IF('Model inputs'!T8="","",'Model inputs'!T8)</f>
        <v>118.444643547497</v>
      </c>
      <c r="U167" s="22" t="n">
        <f aca="false">IF('Model inputs'!U8="","",'Model inputs'!U8)</f>
        <v>136.825690357347</v>
      </c>
      <c r="V167" s="22" t="n">
        <f aca="false">IF('Model inputs'!V8="","",'Model inputs'!V8)</f>
        <v>156.91411019908</v>
      </c>
      <c r="W167" s="22" t="n">
        <f aca="false">IF('Model inputs'!W8="","",'Model inputs'!W8)</f>
        <v>178.883255008867</v>
      </c>
      <c r="X167" s="22" t="n">
        <f aca="false">IF('Model inputs'!X8="","",'Model inputs'!X8)</f>
        <v>202.923759623834</v>
      </c>
      <c r="Y167" s="22" t="n">
        <f aca="false">IF('Model inputs'!Y8="","",'Model inputs'!Y8)</f>
        <v>229.245271118017</v>
      </c>
    </row>
    <row r="168" customFormat="false" ht="18" hidden="false" customHeight="false" outlineLevel="0" collapsed="false">
      <c r="A168" s="27" t="s">
        <v>360</v>
      </c>
      <c r="B168" s="12" t="n">
        <v>0</v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f aca="false">IF('Model inputs'!AA217="","",'Model inputs'!AA217)</f>
        <v>500</v>
      </c>
      <c r="L168" s="12" t="n">
        <f aca="false">IF('Model inputs'!AA217="","",'Model inputs'!AA217)</f>
        <v>500</v>
      </c>
      <c r="M168" s="12" t="n">
        <f aca="false">IF('Model inputs'!AA217="","",'Model inputs'!AA217)</f>
        <v>500</v>
      </c>
      <c r="N168" s="12" t="n">
        <f aca="false">IF('Model inputs'!AA217="","",'Model inputs'!AA217)</f>
        <v>500</v>
      </c>
      <c r="O168" s="12" t="n">
        <f aca="false">IF('Model inputs'!AA217="","",'Model inputs'!AA217)</f>
        <v>500</v>
      </c>
      <c r="P168" s="12" t="n">
        <f aca="false">IF('Model inputs'!AA217="","",'Model inputs'!AA217)</f>
        <v>500</v>
      </c>
      <c r="Q168" s="12" t="n">
        <f aca="false">IF('Model inputs'!AA217="","",'Model inputs'!AA217)</f>
        <v>500</v>
      </c>
      <c r="R168" s="12" t="n">
        <f aca="false">IF('Model inputs'!AA217="","",'Model inputs'!AA217)</f>
        <v>500</v>
      </c>
      <c r="S168" s="12" t="n">
        <f aca="false">IF('Model inputs'!AA217="","",'Model inputs'!AA217)</f>
        <v>500</v>
      </c>
      <c r="T168" s="12" t="n">
        <f aca="false">IF('Model inputs'!AA217="","",'Model inputs'!AA217)</f>
        <v>500</v>
      </c>
      <c r="U168" s="12" t="n">
        <f aca="false">IF('Model inputs'!AA217="","",'Model inputs'!AA217)</f>
        <v>500</v>
      </c>
      <c r="V168" s="12" t="n">
        <f aca="false">IF('Model inputs'!AA217="","",'Model inputs'!AA217)</f>
        <v>500</v>
      </c>
      <c r="W168" s="12" t="n">
        <f aca="false">IF('Model inputs'!AA217="","",'Model inputs'!AA217)</f>
        <v>500</v>
      </c>
      <c r="X168" s="12" t="n">
        <f aca="false">IF('Model inputs'!AA217="","",'Model inputs'!AA217)</f>
        <v>500</v>
      </c>
      <c r="Y168" s="12" t="n">
        <f aca="false">IF('Model inputs'!AA217="","",'Model inputs'!AA217)</f>
        <v>500</v>
      </c>
    </row>
    <row r="169" customFormat="false" ht="18" hidden="false" customHeight="false" outlineLevel="0" collapsed="false">
      <c r="A169" s="27" t="s">
        <v>361</v>
      </c>
      <c r="B169" s="12" t="n">
        <v>0</v>
      </c>
      <c r="C169" s="12" t="n">
        <v>0</v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f aca="false">IF('Model inputs'!AA218="","",'Model inputs'!AA218)</f>
        <v>500</v>
      </c>
      <c r="L169" s="12" t="n">
        <f aca="false">IF('Model inputs'!AA218="","",'Model inputs'!AA218)</f>
        <v>500</v>
      </c>
      <c r="M169" s="12" t="n">
        <f aca="false">IF('Model inputs'!AA218="","",'Model inputs'!AA218)</f>
        <v>500</v>
      </c>
      <c r="N169" s="12" t="n">
        <f aca="false">IF('Model inputs'!AA218="","",'Model inputs'!AA218)</f>
        <v>500</v>
      </c>
      <c r="O169" s="12" t="n">
        <f aca="false">IF('Model inputs'!AA218="","",'Model inputs'!AA218)</f>
        <v>500</v>
      </c>
      <c r="P169" s="12" t="n">
        <f aca="false">IF('Model inputs'!AA218="","",'Model inputs'!AA218)</f>
        <v>500</v>
      </c>
      <c r="Q169" s="12" t="n">
        <f aca="false">IF('Model inputs'!AA218="","",'Model inputs'!AA218)</f>
        <v>500</v>
      </c>
      <c r="R169" s="12" t="n">
        <f aca="false">IF('Model inputs'!AA218="","",'Model inputs'!AA218)</f>
        <v>500</v>
      </c>
      <c r="S169" s="12" t="n">
        <f aca="false">IF('Model inputs'!AA218="","",'Model inputs'!AA218)</f>
        <v>500</v>
      </c>
      <c r="T169" s="12" t="n">
        <f aca="false">IF('Model inputs'!AA218="","",'Model inputs'!AA218)</f>
        <v>500</v>
      </c>
      <c r="U169" s="12" t="n">
        <f aca="false">IF('Model inputs'!AA218="","",'Model inputs'!AA218)</f>
        <v>500</v>
      </c>
      <c r="V169" s="12" t="n">
        <f aca="false">IF('Model inputs'!AA218="","",'Model inputs'!AA218)</f>
        <v>500</v>
      </c>
      <c r="W169" s="12" t="n">
        <f aca="false">IF('Model inputs'!AA218="","",'Model inputs'!AA218)</f>
        <v>500</v>
      </c>
      <c r="X169" s="12" t="n">
        <f aca="false">IF('Model inputs'!AA218="","",'Model inputs'!AA218)</f>
        <v>500</v>
      </c>
      <c r="Y169" s="12" t="n">
        <f aca="false">IF('Model inputs'!AA218="","",'Model inputs'!AA218)</f>
        <v>500</v>
      </c>
    </row>
    <row r="170" customFormat="false" ht="18" hidden="false" customHeight="false" outlineLevel="0" collapsed="false">
      <c r="A170" s="27" t="s">
        <v>362</v>
      </c>
      <c r="B170" s="12" t="n">
        <v>0</v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f aca="false">'Model inputs'!K55*'Model inputs'!AA211</f>
        <v>15.6</v>
      </c>
      <c r="L170" s="12" t="n">
        <f aca="false">'Model inputs'!L55*'Model inputs'!AA211</f>
        <v>15.6</v>
      </c>
      <c r="M170" s="12" t="n">
        <f aca="false">'Model inputs'!M55*'Model inputs'!AA211</f>
        <v>15.6</v>
      </c>
      <c r="N170" s="12" t="n">
        <f aca="false">'Model inputs'!N55*'Model inputs'!AA211</f>
        <v>15.6</v>
      </c>
      <c r="O170" s="12" t="n">
        <f aca="false">'Model inputs'!O55*'Model inputs'!AA211</f>
        <v>15.6</v>
      </c>
      <c r="P170" s="12" t="n">
        <f aca="false">'Model inputs'!P55*'Model inputs'!AA211</f>
        <v>15.6</v>
      </c>
      <c r="Q170" s="12" t="n">
        <f aca="false">'Model inputs'!Q55*'Model inputs'!AA211</f>
        <v>15.6</v>
      </c>
      <c r="R170" s="12" t="n">
        <f aca="false">'Model inputs'!R55*'Model inputs'!AA211</f>
        <v>15.6</v>
      </c>
      <c r="S170" s="12" t="n">
        <f aca="false">'Model inputs'!S55*'Model inputs'!AA211</f>
        <v>15.6</v>
      </c>
      <c r="T170" s="12" t="n">
        <f aca="false">'Model inputs'!T55*'Model inputs'!AA211</f>
        <v>15.6</v>
      </c>
      <c r="U170" s="12" t="n">
        <f aca="false">'Model inputs'!U55*'Model inputs'!AA211</f>
        <v>15.6</v>
      </c>
      <c r="V170" s="12" t="n">
        <f aca="false">'Model inputs'!V55*'Model inputs'!AA211</f>
        <v>15.6</v>
      </c>
      <c r="W170" s="12" t="n">
        <f aca="false">'Model inputs'!W55*'Model inputs'!AA211</f>
        <v>15.6</v>
      </c>
      <c r="X170" s="12" t="n">
        <f aca="false">'Model inputs'!X55*'Model inputs'!AA211</f>
        <v>15.6</v>
      </c>
      <c r="Y170" s="12" t="n">
        <f aca="false">'Model inputs'!Y55*'Model inputs'!AA211</f>
        <v>15.6</v>
      </c>
    </row>
    <row r="171" customFormat="false" ht="18" hidden="false" customHeight="false" outlineLevel="0" collapsed="false">
      <c r="A171" s="27" t="s">
        <v>363</v>
      </c>
      <c r="B171" s="12" t="n">
        <v>0</v>
      </c>
      <c r="C171" s="12" t="n">
        <v>0</v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f aca="false">'Model inputs'!K56*'Model inputs'!AA212</f>
        <v>15.6</v>
      </c>
      <c r="L171" s="12" t="n">
        <f aca="false">'Model inputs'!L56*'Model inputs'!AA212</f>
        <v>15.6</v>
      </c>
      <c r="M171" s="12" t="n">
        <f aca="false">'Model inputs'!M56*'Model inputs'!AA212</f>
        <v>15.6</v>
      </c>
      <c r="N171" s="12" t="n">
        <f aca="false">'Model inputs'!N56*'Model inputs'!AA212</f>
        <v>15.6</v>
      </c>
      <c r="O171" s="12" t="n">
        <f aca="false">'Model inputs'!O56*'Model inputs'!AA212</f>
        <v>15.6</v>
      </c>
      <c r="P171" s="12" t="n">
        <f aca="false">'Model inputs'!P56*'Model inputs'!AA212</f>
        <v>15.6</v>
      </c>
      <c r="Q171" s="12" t="n">
        <f aca="false">'Model inputs'!Q56*'Model inputs'!AA212</f>
        <v>15.6</v>
      </c>
      <c r="R171" s="12" t="n">
        <f aca="false">'Model inputs'!R56*'Model inputs'!AA212</f>
        <v>15.6</v>
      </c>
      <c r="S171" s="12" t="n">
        <f aca="false">'Model inputs'!S56*'Model inputs'!AA212</f>
        <v>15.6</v>
      </c>
      <c r="T171" s="12" t="n">
        <f aca="false">'Model inputs'!T56*'Model inputs'!AA212</f>
        <v>15.6</v>
      </c>
      <c r="U171" s="12" t="n">
        <f aca="false">'Model inputs'!U56*'Model inputs'!AA212</f>
        <v>15.6</v>
      </c>
      <c r="V171" s="12" t="n">
        <f aca="false">'Model inputs'!V56*'Model inputs'!AA212</f>
        <v>15.6</v>
      </c>
      <c r="W171" s="12" t="n">
        <f aca="false">'Model inputs'!W56*'Model inputs'!AA212</f>
        <v>15.6</v>
      </c>
      <c r="X171" s="12" t="n">
        <f aca="false">'Model inputs'!X56*'Model inputs'!AA212</f>
        <v>15.6</v>
      </c>
      <c r="Y171" s="12" t="n">
        <f aca="false">'Model inputs'!Y56*'Model inputs'!AA212</f>
        <v>15.6</v>
      </c>
    </row>
    <row r="172" customFormat="false" ht="18" hidden="false" customHeight="false" outlineLevel="0" collapsed="false">
      <c r="A172" s="27" t="s">
        <v>364</v>
      </c>
      <c r="B172" s="22" t="n">
        <v>0</v>
      </c>
      <c r="C172" s="22" t="n">
        <v>0</v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f aca="false">IF('Model inputs'!J145="","",'Model inputs'!J145)</f>
        <v>0</v>
      </c>
      <c r="K172" s="22" t="n">
        <f aca="false">IF('Model inputs'!K145="","",'Model inputs'!K145)</f>
        <v>20</v>
      </c>
      <c r="L172" s="22" t="n">
        <f aca="false">IF('Model inputs'!L145="","",'Model inputs'!L145)</f>
        <v>20</v>
      </c>
      <c r="M172" s="22" t="n">
        <f aca="false">IF('Model inputs'!M145="","",'Model inputs'!M145)</f>
        <v>20</v>
      </c>
      <c r="N172" s="22" t="n">
        <f aca="false">IF('Model inputs'!N145="","",'Model inputs'!N145)</f>
        <v>20</v>
      </c>
      <c r="O172" s="22" t="n">
        <f aca="false">IF('Model inputs'!O145="","",'Model inputs'!O145)</f>
        <v>20</v>
      </c>
      <c r="P172" s="22" t="n">
        <f aca="false">IF('Model inputs'!P145="","",'Model inputs'!P145)</f>
        <v>20</v>
      </c>
      <c r="Q172" s="22" t="n">
        <f aca="false">IF('Model inputs'!Q145="","",'Model inputs'!Q145)</f>
        <v>20</v>
      </c>
      <c r="R172" s="22" t="n">
        <f aca="false">IF('Model inputs'!R145="","",'Model inputs'!R145)</f>
        <v>20</v>
      </c>
      <c r="S172" s="22" t="n">
        <f aca="false">IF('Model inputs'!S145="","",'Model inputs'!S145)</f>
        <v>20</v>
      </c>
      <c r="T172" s="22" t="n">
        <f aca="false">IF('Model inputs'!T145="","",'Model inputs'!T145)</f>
        <v>20</v>
      </c>
      <c r="U172" s="22" t="n">
        <f aca="false">IF('Model inputs'!U145="","",'Model inputs'!U145)</f>
        <v>20</v>
      </c>
      <c r="V172" s="22" t="n">
        <f aca="false">IF('Model inputs'!V145="","",'Model inputs'!V145)</f>
        <v>20</v>
      </c>
      <c r="W172" s="22" t="n">
        <f aca="false">IF('Model inputs'!W145="","",'Model inputs'!W145)</f>
        <v>20</v>
      </c>
      <c r="X172" s="22" t="n">
        <f aca="false">IF('Model inputs'!X145="","",'Model inputs'!X145)</f>
        <v>20</v>
      </c>
      <c r="Y172" s="22" t="n">
        <f aca="false">IF('Model inputs'!Y145="","",'Model inputs'!Y145)</f>
        <v>20</v>
      </c>
    </row>
    <row r="173" customFormat="false" ht="18" hidden="false" customHeight="false" outlineLevel="0" collapsed="false">
      <c r="A173" s="27" t="s">
        <v>365</v>
      </c>
      <c r="B173" s="22" t="n">
        <v>0</v>
      </c>
      <c r="C173" s="22" t="n">
        <v>0</v>
      </c>
      <c r="D173" s="22" t="n">
        <v>0</v>
      </c>
      <c r="E173" s="22" t="n">
        <v>0</v>
      </c>
      <c r="F173" s="22" t="n">
        <v>0</v>
      </c>
      <c r="G173" s="22" t="n">
        <v>0</v>
      </c>
      <c r="H173" s="22" t="n">
        <v>0</v>
      </c>
      <c r="I173" s="22" t="n">
        <v>0</v>
      </c>
      <c r="J173" s="22" t="n">
        <v>0</v>
      </c>
      <c r="K173" s="22" t="n">
        <f aca="false">IF('Model inputs'!AA219="","",'Model inputs'!AA219)</f>
        <v>20</v>
      </c>
      <c r="L173" s="22" t="n">
        <f aca="false">IF('Model inputs'!AA219="","",'Model inputs'!AA219)</f>
        <v>20</v>
      </c>
      <c r="M173" s="22" t="n">
        <f aca="false">IF('Model inputs'!AA219="","",'Model inputs'!AA219)</f>
        <v>20</v>
      </c>
      <c r="N173" s="22" t="n">
        <f aca="false">IF('Model inputs'!AA219="","",'Model inputs'!AA219)</f>
        <v>20</v>
      </c>
      <c r="O173" s="22" t="n">
        <f aca="false">IF('Model inputs'!AA219="","",'Model inputs'!AA219)</f>
        <v>20</v>
      </c>
      <c r="P173" s="22" t="n">
        <f aca="false">IF('Model inputs'!AA219="","",'Model inputs'!AA219)</f>
        <v>20</v>
      </c>
      <c r="Q173" s="22" t="n">
        <f aca="false">IF('Model inputs'!AA219="","",'Model inputs'!AA219)</f>
        <v>20</v>
      </c>
      <c r="R173" s="22" t="n">
        <f aca="false">IF('Model inputs'!AA219="","",'Model inputs'!AA219)</f>
        <v>20</v>
      </c>
      <c r="S173" s="22" t="n">
        <f aca="false">IF('Model inputs'!AA219="","",'Model inputs'!AA219)</f>
        <v>20</v>
      </c>
      <c r="T173" s="22" t="n">
        <f aca="false">IF('Model inputs'!AA219="","",'Model inputs'!AA219)</f>
        <v>20</v>
      </c>
      <c r="U173" s="22" t="n">
        <f aca="false">IF('Model inputs'!AA219="","",'Model inputs'!AA219)</f>
        <v>20</v>
      </c>
      <c r="V173" s="22" t="n">
        <f aca="false">IF('Model inputs'!AA219="","",'Model inputs'!AA219)</f>
        <v>20</v>
      </c>
      <c r="W173" s="22" t="n">
        <f aca="false">IF('Model inputs'!AA219="","",'Model inputs'!AA219)</f>
        <v>20</v>
      </c>
      <c r="X173" s="22" t="n">
        <f aca="false">IF('Model inputs'!AA219="","",'Model inputs'!AA219)</f>
        <v>20</v>
      </c>
      <c r="Y173" s="22" t="n">
        <f aca="false">IF('Model inputs'!AA219="","",'Model inputs'!AA219)</f>
        <v>20</v>
      </c>
    </row>
    <row r="174" customFormat="false" ht="18" hidden="false" customHeight="false" outlineLevel="0" collapsed="false">
      <c r="A174" s="27" t="s">
        <v>366</v>
      </c>
      <c r="B174" s="22" t="n">
        <v>0</v>
      </c>
      <c r="C174" s="22" t="n">
        <v>0</v>
      </c>
      <c r="D174" s="22" t="n">
        <v>0</v>
      </c>
      <c r="E174" s="22" t="n">
        <v>0</v>
      </c>
      <c r="F174" s="22" t="n">
        <v>0</v>
      </c>
      <c r="G174" s="22" t="n">
        <v>0</v>
      </c>
      <c r="H174" s="22" t="n">
        <v>0</v>
      </c>
      <c r="I174" s="22" t="n">
        <v>0</v>
      </c>
      <c r="J174" s="22" t="n">
        <v>0</v>
      </c>
      <c r="K174" s="22" t="n">
        <f aca="false">IF('Model inputs'!AA220="","",'Model inputs'!AA220)</f>
        <v>20</v>
      </c>
      <c r="L174" s="22" t="n">
        <f aca="false">IF('Model inputs'!AA220="","",'Model inputs'!AA220)</f>
        <v>20</v>
      </c>
      <c r="M174" s="22" t="n">
        <f aca="false">IF('Model inputs'!AA220="","",'Model inputs'!AA220)</f>
        <v>20</v>
      </c>
      <c r="N174" s="22" t="n">
        <f aca="false">IF('Model inputs'!AA220="","",'Model inputs'!AA220)</f>
        <v>20</v>
      </c>
      <c r="O174" s="22" t="n">
        <f aca="false">IF('Model inputs'!AA220="","",'Model inputs'!AA220)</f>
        <v>20</v>
      </c>
      <c r="P174" s="22" t="n">
        <f aca="false">IF('Model inputs'!AA220="","",'Model inputs'!AA220)</f>
        <v>20</v>
      </c>
      <c r="Q174" s="22" t="n">
        <f aca="false">IF('Model inputs'!AA220="","",'Model inputs'!AA220)</f>
        <v>20</v>
      </c>
      <c r="R174" s="22" t="n">
        <f aca="false">IF('Model inputs'!AA220="","",'Model inputs'!AA220)</f>
        <v>20</v>
      </c>
      <c r="S174" s="22" t="n">
        <f aca="false">IF('Model inputs'!AA220="","",'Model inputs'!AA220)</f>
        <v>20</v>
      </c>
      <c r="T174" s="22" t="n">
        <f aca="false">IF('Model inputs'!AA220="","",'Model inputs'!AA220)</f>
        <v>20</v>
      </c>
      <c r="U174" s="22" t="n">
        <f aca="false">IF('Model inputs'!AA220="","",'Model inputs'!AA220)</f>
        <v>20</v>
      </c>
      <c r="V174" s="22" t="n">
        <f aca="false">IF('Model inputs'!AA220="","",'Model inputs'!AA220)</f>
        <v>20</v>
      </c>
      <c r="W174" s="22" t="n">
        <f aca="false">IF('Model inputs'!AA220="","",'Model inputs'!AA220)</f>
        <v>20</v>
      </c>
      <c r="X174" s="22" t="n">
        <f aca="false">IF('Model inputs'!AA220="","",'Model inputs'!AA220)</f>
        <v>20</v>
      </c>
      <c r="Y174" s="22" t="n">
        <f aca="false">IF('Model inputs'!AA220="","",'Model inputs'!AA220)</f>
        <v>20</v>
      </c>
    </row>
    <row r="175" customFormat="false" ht="18" hidden="false" customHeight="false" outlineLevel="0" collapsed="false">
      <c r="A175" s="27" t="s">
        <v>367</v>
      </c>
      <c r="AA175" s="12" t="n">
        <f aca="false">'Gainsay drivers · Gainsay fixed'!B15</f>
        <v>15</v>
      </c>
    </row>
    <row r="176" customFormat="false" ht="18" hidden="false" customHeight="false" outlineLevel="0" collapsed="false">
      <c r="A176" s="27" t="s">
        <v>368</v>
      </c>
      <c r="AA176" s="12" t="n">
        <f aca="false">'Gainsay drivers · Gainsay fixed'!B15</f>
        <v>15</v>
      </c>
    </row>
    <row r="177" customFormat="false" ht="18" hidden="false" customHeight="false" outlineLevel="0" collapsed="false">
      <c r="A177" s="27" t="s">
        <v>369</v>
      </c>
      <c r="AA177" s="12" t="n">
        <f aca="false">'Gainsay drivers · Gainsay fixed'!B22</f>
        <v>500</v>
      </c>
    </row>
    <row r="178" customFormat="false" ht="18" hidden="false" customHeight="false" outlineLevel="0" collapsed="false">
      <c r="A178" s="27" t="s">
        <v>370</v>
      </c>
      <c r="AA178" s="12" t="n">
        <f aca="false">'Gainsay drivers · Gainsay fixed'!B22</f>
        <v>500</v>
      </c>
    </row>
    <row r="179" customFormat="false" ht="18" hidden="false" customHeight="false" outlineLevel="0" collapsed="false">
      <c r="A179" s="27" t="s">
        <v>371</v>
      </c>
      <c r="AA179" s="12" t="n">
        <f aca="false">'Gainsay drivers · Gainsay fixed'!B17</f>
        <v>100</v>
      </c>
    </row>
    <row r="180" customFormat="false" ht="18" hidden="false" customHeight="false" outlineLevel="0" collapsed="false">
      <c r="A180" s="27" t="s">
        <v>372</v>
      </c>
      <c r="AA180" s="12" t="n">
        <f aca="false">'Gainsay drivers · Gainsay fixed'!B17</f>
        <v>100</v>
      </c>
    </row>
    <row r="181" customFormat="false" ht="18" hidden="false" customHeight="false" outlineLevel="0" collapsed="false">
      <c r="A181" s="27" t="s">
        <v>373</v>
      </c>
      <c r="AA181" s="12" t="n">
        <f aca="false">50</f>
        <v>50</v>
      </c>
    </row>
    <row r="182" customFormat="false" ht="18" hidden="false" customHeight="false" outlineLevel="0" collapsed="false">
      <c r="A182" s="27" t="s">
        <v>374</v>
      </c>
      <c r="AA182" s="12" t="n">
        <f aca="false">300</f>
        <v>300</v>
      </c>
    </row>
    <row r="183" customFormat="false" ht="18" hidden="false" customHeight="false" outlineLevel="0" collapsed="false">
      <c r="A183" s="27" t="s">
        <v>375</v>
      </c>
      <c r="B183" s="22" t="n">
        <v>0</v>
      </c>
      <c r="C183" s="22" t="n">
        <v>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f aca="false">IF('Model inputs'!J141="","",'Model inputs'!J141)</f>
        <v>0</v>
      </c>
      <c r="K183" s="22" t="n">
        <f aca="false">IF('Model inputs'!K141="","",'Model inputs'!K141)</f>
        <v>0.03</v>
      </c>
      <c r="L183" s="22" t="n">
        <f aca="false">IF('Model inputs'!L141="","",'Model inputs'!L141)</f>
        <v>0.03</v>
      </c>
      <c r="M183" s="22" t="n">
        <f aca="false">IF('Model inputs'!M141="","",'Model inputs'!M141)</f>
        <v>0.03</v>
      </c>
      <c r="N183" s="22" t="n">
        <f aca="false">IF('Model inputs'!N141="","",'Model inputs'!N141)</f>
        <v>0.03</v>
      </c>
      <c r="O183" s="22" t="n">
        <f aca="false">IF('Model inputs'!O141="","",'Model inputs'!O141)</f>
        <v>0.03</v>
      </c>
      <c r="P183" s="22" t="n">
        <f aca="false">IF('Model inputs'!P141="","",'Model inputs'!P141)</f>
        <v>0.03</v>
      </c>
      <c r="Q183" s="22" t="n">
        <f aca="false">IF('Model inputs'!Q141="","",'Model inputs'!Q141)</f>
        <v>0.03</v>
      </c>
      <c r="R183" s="22" t="n">
        <f aca="false">IF('Model inputs'!R141="","",'Model inputs'!R141)</f>
        <v>0.03</v>
      </c>
      <c r="S183" s="22" t="n">
        <f aca="false">IF('Model inputs'!S141="","",'Model inputs'!S141)</f>
        <v>0.03</v>
      </c>
      <c r="T183" s="22" t="n">
        <f aca="false">IF('Model inputs'!T141="","",'Model inputs'!T141)</f>
        <v>0.03</v>
      </c>
      <c r="U183" s="22" t="n">
        <f aca="false">IF('Model inputs'!U141="","",'Model inputs'!U141)</f>
        <v>0.03</v>
      </c>
      <c r="V183" s="22" t="n">
        <f aca="false">IF('Model inputs'!V141="","",'Model inputs'!V141)</f>
        <v>0.03</v>
      </c>
      <c r="W183" s="22" t="n">
        <f aca="false">IF('Model inputs'!W141="","",'Model inputs'!W141)</f>
        <v>0.03</v>
      </c>
      <c r="X183" s="22" t="n">
        <f aca="false">IF('Model inputs'!X141="","",'Model inputs'!X141)</f>
        <v>0.03</v>
      </c>
      <c r="Y183" s="22" t="n">
        <f aca="false">IF('Model inputs'!Y141="","",'Model inputs'!Y141)</f>
        <v>0.03</v>
      </c>
    </row>
    <row r="184" customFormat="false" ht="18" hidden="false" customHeight="false" outlineLevel="0" collapsed="false">
      <c r="A184" s="27" t="s">
        <v>376</v>
      </c>
      <c r="B184" s="22" t="n">
        <v>0</v>
      </c>
      <c r="C184" s="22" t="n">
        <v>0</v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f aca="false">0.05</f>
        <v>0.05</v>
      </c>
      <c r="L184" s="22" t="n">
        <f aca="false">IF('Model inputs'!K184="","",'Model inputs'!K184)</f>
        <v>0.05</v>
      </c>
      <c r="M184" s="22" t="n">
        <f aca="false">IF('Model inputs'!L184="","",'Model inputs'!L184)</f>
        <v>0.05</v>
      </c>
      <c r="N184" s="22" t="n">
        <f aca="false">IF('Model inputs'!M184="","",'Model inputs'!M184)</f>
        <v>0.05</v>
      </c>
      <c r="O184" s="22" t="n">
        <f aca="false">IF('Model inputs'!N184="","",'Model inputs'!N184)</f>
        <v>0.05</v>
      </c>
      <c r="P184" s="22" t="n">
        <f aca="false">IF('Model inputs'!O184="","",'Model inputs'!O184)</f>
        <v>0.05</v>
      </c>
      <c r="Q184" s="22" t="n">
        <f aca="false">IF('Model inputs'!P184="","",'Model inputs'!P184)</f>
        <v>0.05</v>
      </c>
      <c r="R184" s="22" t="n">
        <f aca="false">IF('Model inputs'!Q184="","",'Model inputs'!Q184)</f>
        <v>0.05</v>
      </c>
      <c r="S184" s="22" t="n">
        <f aca="false">IF('Model inputs'!R184="","",'Model inputs'!R184)</f>
        <v>0.05</v>
      </c>
      <c r="T184" s="22" t="n">
        <f aca="false">IF('Model inputs'!S184="","",'Model inputs'!S184)</f>
        <v>0.05</v>
      </c>
      <c r="U184" s="22" t="n">
        <f aca="false">IF('Model inputs'!T184="","",'Model inputs'!T184)</f>
        <v>0.05</v>
      </c>
      <c r="V184" s="22" t="n">
        <f aca="false">IF('Model inputs'!U184="","",'Model inputs'!U184)</f>
        <v>0.05</v>
      </c>
      <c r="W184" s="22" t="n">
        <f aca="false">IF('Model inputs'!V184="","",'Model inputs'!V184)</f>
        <v>0.05</v>
      </c>
      <c r="X184" s="22" t="n">
        <f aca="false">IF('Model inputs'!W184="","",'Model inputs'!W184)</f>
        <v>0.05</v>
      </c>
      <c r="Y184" s="22" t="n">
        <f aca="false">IF('Model inputs'!X184="","",'Model inputs'!X184)</f>
        <v>0.05</v>
      </c>
    </row>
    <row r="185" customFormat="false" ht="18" hidden="false" customHeight="false" outlineLevel="0" collapsed="false">
      <c r="A185" s="27" t="s">
        <v>377</v>
      </c>
      <c r="B185" s="22" t="n">
        <v>0</v>
      </c>
      <c r="C185" s="22" t="n">
        <v>0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</v>
      </c>
      <c r="J185" s="22" t="n">
        <v>0</v>
      </c>
      <c r="K185" s="22" t="n">
        <f aca="false">0.02</f>
        <v>0.02</v>
      </c>
      <c r="L185" s="22" t="n">
        <f aca="false">IF('Model inputs'!K185="","",'Model inputs'!K185)</f>
        <v>0.02</v>
      </c>
      <c r="M185" s="22" t="n">
        <f aca="false">IF('Model inputs'!L185="","",'Model inputs'!L185)</f>
        <v>0.02</v>
      </c>
      <c r="N185" s="22" t="n">
        <f aca="false">IF('Model inputs'!M185="","",'Model inputs'!M185)</f>
        <v>0.02</v>
      </c>
      <c r="O185" s="22" t="n">
        <f aca="false">IF('Model inputs'!N185="","",'Model inputs'!N185)</f>
        <v>0.02</v>
      </c>
      <c r="P185" s="22" t="n">
        <f aca="false">IF('Model inputs'!O185="","",'Model inputs'!O185)</f>
        <v>0.02</v>
      </c>
      <c r="Q185" s="22" t="n">
        <f aca="false">IF('Model inputs'!P185="","",'Model inputs'!P185)</f>
        <v>0.02</v>
      </c>
      <c r="R185" s="22" t="n">
        <f aca="false">IF('Model inputs'!Q185="","",'Model inputs'!Q185)</f>
        <v>0.02</v>
      </c>
      <c r="S185" s="22" t="n">
        <f aca="false">IF('Model inputs'!R185="","",'Model inputs'!R185)</f>
        <v>0.02</v>
      </c>
      <c r="T185" s="22" t="n">
        <f aca="false">IF('Model inputs'!S185="","",'Model inputs'!S185)</f>
        <v>0.02</v>
      </c>
      <c r="U185" s="22" t="n">
        <f aca="false">IF('Model inputs'!T185="","",'Model inputs'!T185)</f>
        <v>0.02</v>
      </c>
      <c r="V185" s="22" t="n">
        <f aca="false">IF('Model inputs'!U185="","",'Model inputs'!U185)</f>
        <v>0.02</v>
      </c>
      <c r="W185" s="22" t="n">
        <f aca="false">IF('Model inputs'!V185="","",'Model inputs'!V185)</f>
        <v>0.02</v>
      </c>
      <c r="X185" s="22" t="n">
        <f aca="false">IF('Model inputs'!W185="","",'Model inputs'!W185)</f>
        <v>0.02</v>
      </c>
      <c r="Y185" s="22" t="n">
        <f aca="false">IF('Model inputs'!X185="","",'Model inputs'!X185)</f>
        <v>0.02</v>
      </c>
    </row>
    <row r="186" customFormat="false" ht="18" hidden="false" customHeight="false" outlineLevel="0" collapsed="false">
      <c r="A186" s="27" t="s">
        <v>378</v>
      </c>
      <c r="B186" s="22" t="n">
        <v>0</v>
      </c>
      <c r="C186" s="22" t="n">
        <v>0</v>
      </c>
      <c r="D186" s="22" t="n">
        <v>0</v>
      </c>
      <c r="E186" s="22" t="n">
        <v>0</v>
      </c>
      <c r="F186" s="22" t="n">
        <v>0</v>
      </c>
      <c r="G186" s="22" t="n">
        <v>0</v>
      </c>
      <c r="H186" s="22" t="n">
        <v>0</v>
      </c>
      <c r="I186" s="22" t="n">
        <v>0</v>
      </c>
      <c r="J186" s="22" t="n">
        <f aca="false">IF('Model inputs'!J142="","",'Model inputs'!J142)</f>
        <v>0</v>
      </c>
      <c r="K186" s="22" t="n">
        <f aca="false">IF('Model inputs'!K142="","",'Model inputs'!K142)</f>
        <v>3</v>
      </c>
      <c r="L186" s="22" t="n">
        <f aca="false">IF('Model inputs'!L142="","",'Model inputs'!L142)</f>
        <v>3.15</v>
      </c>
      <c r="M186" s="22" t="n">
        <f aca="false">IF('Model inputs'!M142="","",'Model inputs'!M142)</f>
        <v>3.3075</v>
      </c>
      <c r="N186" s="22" t="n">
        <f aca="false">IF('Model inputs'!N142="","",'Model inputs'!N142)</f>
        <v>3.472875</v>
      </c>
      <c r="O186" s="22" t="n">
        <f aca="false">IF('Model inputs'!O142="","",'Model inputs'!O142)</f>
        <v>3.64651875</v>
      </c>
      <c r="P186" s="22" t="n">
        <f aca="false">IF('Model inputs'!P142="","",'Model inputs'!P142)</f>
        <v>3.8288446875</v>
      </c>
      <c r="Q186" s="22" t="n">
        <f aca="false">IF('Model inputs'!Q142="","",'Model inputs'!Q142)</f>
        <v>4.020286921875</v>
      </c>
      <c r="R186" s="22" t="n">
        <f aca="false">IF('Model inputs'!R142="","",'Model inputs'!R142)</f>
        <v>4.22130126796875</v>
      </c>
      <c r="S186" s="22" t="n">
        <f aca="false">IF('Model inputs'!S142="","",'Model inputs'!S142)</f>
        <v>4.43236633136719</v>
      </c>
      <c r="T186" s="22" t="n">
        <f aca="false">IF('Model inputs'!T142="","",'Model inputs'!T142)</f>
        <v>4.65398464793555</v>
      </c>
      <c r="U186" s="22" t="n">
        <f aca="false">IF('Model inputs'!U142="","",'Model inputs'!U142)</f>
        <v>4.88668388033233</v>
      </c>
      <c r="V186" s="22" t="n">
        <f aca="false">IF('Model inputs'!V142="","",'Model inputs'!V142)</f>
        <v>5.13101807434894</v>
      </c>
      <c r="W186" s="22" t="n">
        <f aca="false">IF('Model inputs'!W142="","",'Model inputs'!W142)</f>
        <v>5.38756897806639</v>
      </c>
      <c r="X186" s="22" t="n">
        <f aca="false">IF('Model inputs'!X142="","",'Model inputs'!X142)</f>
        <v>5.65694742696971</v>
      </c>
      <c r="Y186" s="22" t="n">
        <f aca="false">IF('Model inputs'!Y142="","",'Model inputs'!Y142)</f>
        <v>5.9397947983182</v>
      </c>
    </row>
    <row r="187" customFormat="false" ht="18" hidden="false" customHeight="false" outlineLevel="0" collapsed="false">
      <c r="A187" s="27" t="s">
        <v>379</v>
      </c>
      <c r="B187" s="22" t="n">
        <v>0</v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f aca="false">1</f>
        <v>1</v>
      </c>
      <c r="L187" s="22" t="n">
        <f aca="false">'Model inputs'!K187*(1+'Model inputs'!L221)</f>
        <v>1</v>
      </c>
      <c r="M187" s="22" t="n">
        <f aca="false">'Model inputs'!L187*(1+'Model inputs'!M221)</f>
        <v>1</v>
      </c>
      <c r="N187" s="22" t="n">
        <f aca="false">'Model inputs'!M187*(1+'Model inputs'!N221)</f>
        <v>1</v>
      </c>
      <c r="O187" s="22" t="n">
        <f aca="false">'Model inputs'!N187*(1+'Model inputs'!O221)</f>
        <v>1</v>
      </c>
      <c r="P187" s="22" t="n">
        <f aca="false">'Model inputs'!O187*(1+'Model inputs'!P221)</f>
        <v>1</v>
      </c>
      <c r="Q187" s="22" t="n">
        <f aca="false">'Model inputs'!P187*(1+'Model inputs'!Q221)</f>
        <v>1</v>
      </c>
      <c r="R187" s="22" t="n">
        <f aca="false">'Model inputs'!Q187*(1+'Model inputs'!R221)</f>
        <v>1</v>
      </c>
      <c r="S187" s="22" t="n">
        <f aca="false">'Model inputs'!R187*(1+'Model inputs'!S221)</f>
        <v>1</v>
      </c>
      <c r="T187" s="22" t="n">
        <f aca="false">'Model inputs'!S187*(1+'Model inputs'!T221)</f>
        <v>1</v>
      </c>
      <c r="U187" s="22" t="n">
        <f aca="false">'Model inputs'!T187*(1+'Model inputs'!U221)</f>
        <v>1</v>
      </c>
      <c r="V187" s="22" t="n">
        <f aca="false">'Model inputs'!U187*(1+'Model inputs'!V221)</f>
        <v>1</v>
      </c>
      <c r="W187" s="22" t="n">
        <f aca="false">'Model inputs'!V187*(1+'Model inputs'!W221)</f>
        <v>1</v>
      </c>
      <c r="X187" s="22" t="n">
        <f aca="false">'Model inputs'!W187*(1+'Model inputs'!X221)</f>
        <v>1</v>
      </c>
      <c r="Y187" s="22" t="n">
        <f aca="false">'Model inputs'!X187*(1+'Model inputs'!Y221)</f>
        <v>1</v>
      </c>
    </row>
    <row r="188" customFormat="false" ht="18" hidden="false" customHeight="false" outlineLevel="0" collapsed="false">
      <c r="A188" s="27" t="s">
        <v>380</v>
      </c>
      <c r="B188" s="22" t="n">
        <v>0</v>
      </c>
      <c r="C188" s="22" t="n">
        <v>0</v>
      </c>
      <c r="D188" s="22" t="n">
        <v>0</v>
      </c>
      <c r="E188" s="22" t="n">
        <v>0</v>
      </c>
      <c r="F188" s="22" t="n">
        <v>0</v>
      </c>
      <c r="G188" s="22" t="n">
        <v>0</v>
      </c>
      <c r="H188" s="22" t="n">
        <v>0</v>
      </c>
      <c r="I188" s="22" t="n">
        <v>0</v>
      </c>
      <c r="J188" s="22" t="n">
        <v>0</v>
      </c>
      <c r="K188" s="22" t="n">
        <f aca="false">8</f>
        <v>8</v>
      </c>
      <c r="L188" s="22" t="n">
        <f aca="false">'Model inputs'!K188*(1+'Model inputs'!L222)</f>
        <v>8.8</v>
      </c>
      <c r="M188" s="22" t="n">
        <f aca="false">'Model inputs'!L188*(1+'Model inputs'!M222)</f>
        <v>9.68</v>
      </c>
      <c r="N188" s="22" t="n">
        <f aca="false">'Model inputs'!M188*(1+'Model inputs'!N222)</f>
        <v>10.648</v>
      </c>
      <c r="O188" s="22" t="n">
        <f aca="false">'Model inputs'!N188*(1+'Model inputs'!O222)</f>
        <v>11.7128</v>
      </c>
      <c r="P188" s="22" t="n">
        <f aca="false">'Model inputs'!O188*(1+'Model inputs'!P222)</f>
        <v>12.88408</v>
      </c>
      <c r="Q188" s="22" t="n">
        <f aca="false">'Model inputs'!P188*(1+'Model inputs'!Q222)</f>
        <v>14.172488</v>
      </c>
      <c r="R188" s="22" t="n">
        <f aca="false">'Model inputs'!Q188*(1+'Model inputs'!R222)</f>
        <v>15.5897368</v>
      </c>
      <c r="S188" s="22" t="n">
        <f aca="false">'Model inputs'!R188*(1+'Model inputs'!S222)</f>
        <v>17.14871048</v>
      </c>
      <c r="T188" s="22" t="n">
        <f aca="false">'Model inputs'!S188*(1+'Model inputs'!T222)</f>
        <v>18.863581528</v>
      </c>
      <c r="U188" s="22" t="n">
        <f aca="false">'Model inputs'!T188*(1+'Model inputs'!U222)</f>
        <v>20.7499396808</v>
      </c>
      <c r="V188" s="22" t="n">
        <f aca="false">'Model inputs'!U188*(1+'Model inputs'!V222)</f>
        <v>22.82493364888</v>
      </c>
      <c r="W188" s="22" t="n">
        <f aca="false">'Model inputs'!V188*(1+'Model inputs'!W222)</f>
        <v>25.107427013768</v>
      </c>
      <c r="X188" s="22" t="n">
        <f aca="false">'Model inputs'!W188*(1+'Model inputs'!X222)</f>
        <v>27.6181697151448</v>
      </c>
      <c r="Y188" s="22" t="n">
        <f aca="false">'Model inputs'!X188*(1+'Model inputs'!Y222)</f>
        <v>30.3799866866593</v>
      </c>
    </row>
    <row r="189" customFormat="false" ht="18" hidden="false" customHeight="false" outlineLevel="0" collapsed="false">
      <c r="A189" s="27" t="s">
        <v>381</v>
      </c>
      <c r="AA189" s="12" t="n">
        <f aca="false">'Gainsay drivers · Gainsay fixed'!B21</f>
        <v>5000</v>
      </c>
    </row>
    <row r="190" customFormat="false" ht="18" hidden="false" customHeight="false" outlineLevel="0" collapsed="false">
      <c r="A190" s="27" t="s">
        <v>382</v>
      </c>
      <c r="AA190" s="12" t="n">
        <f aca="false">'Gainsay drivers · Gainsay fixed'!B21</f>
        <v>5000</v>
      </c>
    </row>
    <row r="191" customFormat="false" ht="18" hidden="false" customHeight="false" outlineLevel="0" collapsed="false">
      <c r="A191" s="27" t="s">
        <v>383</v>
      </c>
      <c r="B191" s="12" t="n">
        <v>0</v>
      </c>
      <c r="C191" s="12" t="n">
        <v>0</v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f aca="false">IF('Model inputs'!J132="","",'Model inputs'!J132)</f>
        <v>0</v>
      </c>
      <c r="K191" s="12" t="n">
        <f aca="false">IF('Model inputs'!K132="","",'Model inputs'!K132)</f>
        <v>-857.193</v>
      </c>
      <c r="L191" s="12" t="n">
        <f aca="false">IF('Model inputs'!L132="","",'Model inputs'!L132)</f>
        <v>-273.74916</v>
      </c>
      <c r="M191" s="12" t="n">
        <f aca="false">IF('Model inputs'!M132="","",'Model inputs'!M132)</f>
        <v>-188.4063327</v>
      </c>
      <c r="N191" s="12" t="n">
        <f aca="false">IF('Model inputs'!N132="","",'Model inputs'!N132)</f>
        <v>-101.001372594</v>
      </c>
      <c r="O191" s="12" t="n">
        <f aca="false">IF('Model inputs'!O132="","",'Model inputs'!O132)</f>
        <v>-11.36502278493</v>
      </c>
      <c r="P191" s="12" t="n">
        <f aca="false">IF('Model inputs'!P132="","",'Model inputs'!P132)</f>
        <v>80.6784519614305</v>
      </c>
      <c r="Q191" s="12" t="n">
        <f aca="false">IF('Model inputs'!Q132="","",'Model inputs'!Q132)</f>
        <v>175.311648668541</v>
      </c>
      <c r="R191" s="12" t="n">
        <f aca="false">IF('Model inputs'!R132="","",'Model inputs'!R132)</f>
        <v>272.724426987735</v>
      </c>
      <c r="S191" s="12" t="n">
        <f aca="false">IF('Model inputs'!S132="","",'Model inputs'!S132)</f>
        <v>373.114328346317</v>
      </c>
      <c r="T191" s="12" t="n">
        <f aca="false">IF('Model inputs'!T132="","",'Model inputs'!T132)</f>
        <v>476.687014372551</v>
      </c>
      <c r="U191" s="12" t="n">
        <f aca="false">IF('Model inputs'!U132="","",'Model inputs'!U132)</f>
        <v>583.65672561183</v>
      </c>
      <c r="V191" s="12" t="n">
        <f aca="false">IF('Model inputs'!V132="","",'Model inputs'!V132)</f>
        <v>694.246761597453</v>
      </c>
      <c r="W191" s="12" t="n">
        <f aca="false">IF('Model inputs'!W132="","",'Model inputs'!W132)</f>
        <v>808.689983391207</v>
      </c>
      <c r="X191" s="12" t="n">
        <f aca="false">IF('Model inputs'!X132="","",'Model inputs'!X132)</f>
        <v>927.229339763231</v>
      </c>
      <c r="Y191" s="12" t="n">
        <f aca="false">IF('Model inputs'!Y132="","",'Model inputs'!Y132)</f>
        <v>650.118418237783</v>
      </c>
    </row>
    <row r="192" customFormat="false" ht="18" hidden="false" customHeight="false" outlineLevel="0" collapsed="false">
      <c r="A192" s="27" t="s">
        <v>384</v>
      </c>
      <c r="B192" s="12" t="n">
        <v>0</v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f aca="false">'Model inputs'!K60-'Model inputs'!K82</f>
        <v>-896.916</v>
      </c>
      <c r="L192" s="12" t="n">
        <f aca="false">'Model inputs'!L60-'Model inputs'!L82</f>
        <v>-372.17895</v>
      </c>
      <c r="M192" s="12" t="n">
        <f aca="false">'Model inputs'!M60-'Model inputs'!M82</f>
        <v>-348.6787525</v>
      </c>
      <c r="N192" s="12" t="n">
        <f aca="false">'Model inputs'!N60-'Model inputs'!N82</f>
        <v>-326.353564875</v>
      </c>
      <c r="O192" s="12" t="n">
        <f aca="false">'Model inputs'!O60-'Model inputs'!O82</f>
        <v>-305.14463663125</v>
      </c>
      <c r="P192" s="12" t="n">
        <f aca="false">'Model inputs'!P60-'Model inputs'!P82</f>
        <v>-284.996154799688</v>
      </c>
      <c r="Q192" s="12" t="n">
        <f aca="false">'Model inputs'!Q60-'Model inputs'!Q82</f>
        <v>-265.855097059703</v>
      </c>
      <c r="R192" s="12" t="n">
        <f aca="false">'Model inputs'!R60-'Model inputs'!R82</f>
        <v>-247.671092206718</v>
      </c>
      <c r="S192" s="12" t="n">
        <f aca="false">'Model inputs'!S60-'Model inputs'!S82</f>
        <v>-230.396287596382</v>
      </c>
      <c r="T192" s="12" t="n">
        <f aca="false">'Model inputs'!T60-'Model inputs'!T82</f>
        <v>-213.985223216563</v>
      </c>
      <c r="U192" s="12" t="n">
        <f aca="false">'Model inputs'!U60-'Model inputs'!U82</f>
        <v>-198.394712055735</v>
      </c>
      <c r="V192" s="12" t="n">
        <f aca="false">'Model inputs'!V60-'Model inputs'!V82</f>
        <v>-183.583726452948</v>
      </c>
      <c r="W192" s="12" t="n">
        <f aca="false">'Model inputs'!W60-'Model inputs'!W82</f>
        <v>-169.513290130301</v>
      </c>
      <c r="X192" s="12" t="n">
        <f aca="false">'Model inputs'!X60-'Model inputs'!X82</f>
        <v>-156.146375623786</v>
      </c>
      <c r="Y192" s="12" t="n">
        <f aca="false">'Model inputs'!Y60-'Model inputs'!Y82</f>
        <v>-143.447806842596</v>
      </c>
    </row>
    <row r="193" customFormat="false" ht="18" hidden="false" customHeight="false" outlineLevel="0" collapsed="false">
      <c r="A193" s="27" t="s">
        <v>385</v>
      </c>
      <c r="B193" s="12" t="n">
        <v>0</v>
      </c>
      <c r="C193" s="12" t="n">
        <v>0</v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f aca="false">'Model inputs'!K61-'Model inputs'!K83</f>
        <v>-851.708</v>
      </c>
      <c r="L193" s="12" t="n">
        <f aca="false">'Model inputs'!L61-'Model inputs'!L83</f>
        <v>-111.67304</v>
      </c>
      <c r="M193" s="12" t="n">
        <f aca="false">'Model inputs'!M61-'Model inputs'!M83</f>
        <v>148.2825008</v>
      </c>
      <c r="N193" s="12" t="n">
        <f aca="false">'Model inputs'!N61-'Model inputs'!N83</f>
        <v>430.232338784</v>
      </c>
      <c r="O193" s="12" t="n">
        <f aca="false">'Model inputs'!O61-'Model inputs'!O83</f>
        <v>736.455928808321</v>
      </c>
      <c r="P193" s="12" t="n">
        <f aca="false">'Model inputs'!P61-'Model inputs'!P83</f>
        <v>669.459070712155</v>
      </c>
      <c r="Q193" s="12" t="n">
        <f aca="false">'Model inputs'!Q61-'Model inputs'!Q83</f>
        <v>1031.99657582591</v>
      </c>
      <c r="R193" s="12" t="n">
        <f aca="false">'Model inputs'!R61-'Model inputs'!R83</f>
        <v>1427.09719949019</v>
      </c>
      <c r="S193" s="12" t="n">
        <f aca="false">'Model inputs'!S61-'Model inputs'!S83</f>
        <v>1858.09106619927</v>
      </c>
      <c r="T193" s="12" t="n">
        <f aca="false">'Model inputs'!T61-'Model inputs'!T83</f>
        <v>2328.63983664405</v>
      </c>
      <c r="U193" s="12" t="n">
        <f aca="false">'Model inputs'!U61-'Model inputs'!U83</f>
        <v>2842.76989085682</v>
      </c>
      <c r="V193" s="12" t="n">
        <f aca="false">'Model inputs'!V61-'Model inputs'!V83</f>
        <v>3404.90882907989</v>
      </c>
      <c r="W193" s="12" t="n">
        <f aca="false">'Model inputs'!W61-'Model inputs'!W83</f>
        <v>4019.92562214252</v>
      </c>
      <c r="X193" s="12" t="n">
        <f aca="false">'Model inputs'!X61-'Model inputs'!X83</f>
        <v>4693.17477630833</v>
      </c>
      <c r="Y193" s="12" t="n">
        <f aca="false">'Model inputs'!Y61-'Model inputs'!Y83</f>
        <v>5430.54491405168</v>
      </c>
    </row>
    <row r="194" customFormat="false" ht="18" hidden="false" customHeight="false" outlineLevel="0" collapsed="false">
      <c r="A194" s="27" t="s">
        <v>386</v>
      </c>
      <c r="B194" s="12" t="n">
        <v>0</v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f aca="false">IF('Model inputs'!J133="","",'Model inputs'!J133)</f>
        <v>0</v>
      </c>
      <c r="K194" s="12" t="n">
        <f aca="false">IF('Model inputs'!K133="","",'Model inputs'!K133)</f>
        <v>14.56</v>
      </c>
      <c r="L194" s="12" t="n">
        <f aca="false">IF('Model inputs'!L133="","",'Model inputs'!L133)</f>
        <v>20.5842</v>
      </c>
      <c r="M194" s="12" t="n">
        <f aca="false">IF('Model inputs'!M133="","",'Model inputs'!M133)</f>
        <v>26.750724</v>
      </c>
      <c r="N194" s="12" t="n">
        <f aca="false">IF('Model inputs'!N133="","",'Model inputs'!N133)</f>
        <v>33.07145478</v>
      </c>
      <c r="O194" s="12" t="n">
        <f aca="false">IF('Model inputs'!O133="","",'Model inputs'!O133)</f>
        <v>39.5587262616</v>
      </c>
      <c r="P194" s="12" t="n">
        <f aca="false">IF('Model inputs'!P133="","",'Model inputs'!P133)</f>
        <v>46.225350355002</v>
      </c>
      <c r="Q194" s="12" t="n">
        <f aca="false">IF('Model inputs'!Q133="","",'Model inputs'!Q133)</f>
        <v>53.0846450196645</v>
      </c>
      <c r="R194" s="12" t="n">
        <f aca="false">IF('Model inputs'!R133="","",'Model inputs'!R133)</f>
        <v>60.1504636031526</v>
      </c>
      <c r="S194" s="12" t="n">
        <f aca="false">IF('Model inputs'!S133="","",'Model inputs'!S133)</f>
        <v>67.4372255258401</v>
      </c>
      <c r="T194" s="12" t="n">
        <f aca="false">IF('Model inputs'!T133="","",'Model inputs'!T133)</f>
        <v>74.959948382386</v>
      </c>
      <c r="U194" s="12" t="n">
        <f aca="false">IF('Model inputs'!U133="","",'Model inputs'!U133)</f>
        <v>82.7342815343517</v>
      </c>
      <c r="V194" s="12" t="n">
        <f aca="false">IF('Model inputs'!V133="","",'Model inputs'!V133)</f>
        <v>90.7765412719302</v>
      </c>
      <c r="W194" s="12" t="n">
        <f aca="false">IF('Model inputs'!W133="","",'Model inputs'!W133)</f>
        <v>99.1037476265618</v>
      </c>
      <c r="X194" s="12" t="n">
        <f aca="false">IF('Model inputs'!X133="","",'Model inputs'!X133)</f>
        <v>107.733662920194</v>
      </c>
      <c r="Y194" s="12" t="n">
        <f aca="false">IF('Model inputs'!Y133="","",'Model inputs'!Y133)</f>
        <v>116.684832141139</v>
      </c>
    </row>
    <row r="195" customFormat="false" ht="18" hidden="false" customHeight="false" outlineLevel="0" collapsed="false">
      <c r="A195" s="27" t="s">
        <v>387</v>
      </c>
      <c r="B195" s="12" t="n">
        <v>0</v>
      </c>
      <c r="C195" s="12" t="n">
        <v>0</v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f aca="false">'Model inputs'!K85*'Model inputs'!AA211</f>
        <v>6.37</v>
      </c>
      <c r="L195" s="12" t="n">
        <f aca="false">'Model inputs'!L85*'Model inputs'!AA211</f>
        <v>8.099</v>
      </c>
      <c r="M195" s="12" t="n">
        <f aca="false">'Model inputs'!M85*'Model inputs'!AA211</f>
        <v>9.74155</v>
      </c>
      <c r="N195" s="12" t="n">
        <f aca="false">'Model inputs'!N85*'Model inputs'!AA211</f>
        <v>11.3019725</v>
      </c>
      <c r="O195" s="12" t="n">
        <f aca="false">'Model inputs'!O85*'Model inputs'!AA211</f>
        <v>12.784373875</v>
      </c>
      <c r="P195" s="12" t="n">
        <f aca="false">'Model inputs'!P85*'Model inputs'!AA211</f>
        <v>14.19265518125</v>
      </c>
      <c r="Q195" s="12" t="n">
        <f aca="false">'Model inputs'!Q85*'Model inputs'!AA211</f>
        <v>15.5305224221875</v>
      </c>
      <c r="R195" s="12" t="n">
        <f aca="false">'Model inputs'!R85*'Model inputs'!AA211</f>
        <v>16.8014963010781</v>
      </c>
      <c r="S195" s="12" t="n">
        <f aca="false">'Model inputs'!S85*'Model inputs'!AA211</f>
        <v>18.0089214860242</v>
      </c>
      <c r="T195" s="12" t="n">
        <f aca="false">'Model inputs'!T85*'Model inputs'!AA211</f>
        <v>19.155975411723</v>
      </c>
      <c r="U195" s="12" t="n">
        <f aca="false">'Model inputs'!U85*'Model inputs'!AA211</f>
        <v>20.2456766411369</v>
      </c>
      <c r="V195" s="12" t="n">
        <f aca="false">'Model inputs'!V85*'Model inputs'!AA211</f>
        <v>21.28089280908</v>
      </c>
      <c r="W195" s="12" t="n">
        <f aca="false">'Model inputs'!W85*'Model inputs'!AA211</f>
        <v>22.264348168626</v>
      </c>
      <c r="X195" s="12" t="n">
        <f aca="false">'Model inputs'!X85*'Model inputs'!AA211</f>
        <v>23.1986307601947</v>
      </c>
      <c r="Y195" s="12" t="n">
        <f aca="false">'Model inputs'!Y85*'Model inputs'!AA211</f>
        <v>24.086199222185</v>
      </c>
    </row>
    <row r="196" customFormat="false" ht="18" hidden="false" customHeight="false" outlineLevel="0" collapsed="false">
      <c r="A196" s="27" t="s">
        <v>388</v>
      </c>
      <c r="B196" s="12" t="n">
        <v>0</v>
      </c>
      <c r="C196" s="12" t="n">
        <v>0</v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f aca="false">'Model inputs'!K86*'Model inputs'!AA212</f>
        <v>32.76</v>
      </c>
      <c r="L196" s="12" t="n">
        <f aca="false">'Model inputs'!L86*'Model inputs'!AA212</f>
        <v>50.3048</v>
      </c>
      <c r="M196" s="12" t="n">
        <f aca="false">'Model inputs'!M86*'Model inputs'!AA212</f>
        <v>69.318704</v>
      </c>
      <c r="N196" s="12" t="n">
        <f aca="false">'Model inputs'!N86*'Model inputs'!AA212</f>
        <v>89.95432992</v>
      </c>
      <c r="O196" s="12" t="n">
        <f aca="false">'Model inputs'!O86*'Model inputs'!AA212</f>
        <v>112.3794433216</v>
      </c>
      <c r="P196" s="12" t="n">
        <f aca="false">'Model inputs'!P86*'Model inputs'!AA212</f>
        <v>136.778474455168</v>
      </c>
      <c r="Q196" s="12" t="n">
        <f aca="false">'Model inputs'!Q86*'Model inputs'!AA212</f>
        <v>163.354186966065</v>
      </c>
      <c r="R196" s="12" t="n">
        <f aca="false">'Model inputs'!R86*'Model inputs'!AA212</f>
        <v>192.329513426743</v>
      </c>
      <c r="S196" s="12" t="n">
        <f aca="false">'Model inputs'!S86*'Model inputs'!AA212</f>
        <v>223.949574378209</v>
      </c>
      <c r="T196" s="12" t="n">
        <f aca="false">'Model inputs'!T86*'Model inputs'!AA212</f>
        <v>258.483899232645</v>
      </c>
      <c r="U196" s="12" t="n">
        <f aca="false">'Model inputs'!U86*'Model inputs'!AA212</f>
        <v>296.228869224192</v>
      </c>
      <c r="V196" s="12" t="n">
        <f aca="false">'Model inputs'!V86*'Model inputs'!AA212</f>
        <v>337.510404613528</v>
      </c>
      <c r="W196" s="12" t="n">
        <f aca="false">'Model inputs'!W86*'Model inputs'!AA212</f>
        <v>382.686920572459</v>
      </c>
      <c r="X196" s="12" t="n">
        <f aca="false">'Model inputs'!X86*'Model inputs'!AA212</f>
        <v>432.152578617332</v>
      </c>
      <c r="Y196" s="12" t="n">
        <f aca="false">'Model inputs'!Y86*'Model inputs'!AA212</f>
        <v>486.34086314694</v>
      </c>
    </row>
    <row r="197" customFormat="false" ht="18" hidden="false" customHeight="false" outlineLevel="0" collapsed="false">
      <c r="A197" s="27" t="s">
        <v>389</v>
      </c>
      <c r="B197" s="12" t="n">
        <v>0</v>
      </c>
      <c r="C197" s="12" t="n">
        <v>0</v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f aca="false">IF('Model inputs'!J134="","",'Model inputs'!J134)</f>
        <v>0</v>
      </c>
      <c r="K197" s="12" t="n">
        <f aca="false">IF('Model inputs'!K134="","",'Model inputs'!K134)</f>
        <v>9.033</v>
      </c>
      <c r="L197" s="12" t="n">
        <f aca="false">IF('Model inputs'!L134="","",'Model inputs'!L134)</f>
        <v>12.80496</v>
      </c>
      <c r="M197" s="12" t="n">
        <f aca="false">IF('Model inputs'!M134="","",'Model inputs'!M134)</f>
        <v>16.6659087</v>
      </c>
      <c r="N197" s="12" t="n">
        <f aca="false">IF('Model inputs'!N134="","",'Model inputs'!N134)</f>
        <v>20.623283814</v>
      </c>
      <c r="O197" s="12" t="n">
        <f aca="false">IF('Model inputs'!O134="","",'Model inputs'!O134)</f>
        <v>24.68480529333</v>
      </c>
      <c r="P197" s="12" t="n">
        <f aca="false">IF('Model inputs'!P134="","",'Model inputs'!P134)</f>
        <v>28.8584921279676</v>
      </c>
      <c r="Q197" s="12" t="n">
        <f aca="false">IF('Model inputs'!Q134="","",'Model inputs'!Q134)</f>
        <v>33.152679907238</v>
      </c>
      <c r="R197" s="12" t="n">
        <f aca="false">IF('Model inputs'!R134="","",'Model inputs'!R134)</f>
        <v>37.5760391802857</v>
      </c>
      <c r="S197" s="12" t="n">
        <f aca="false">IF('Model inputs'!S134="","",'Model inputs'!S134)</f>
        <v>42.1375946586552</v>
      </c>
      <c r="T197" s="12" t="n">
        <f aca="false">IF('Model inputs'!T134="","",'Model inputs'!T134)</f>
        <v>46.8467453053625</v>
      </c>
      <c r="U197" s="12" t="n">
        <f aca="false">IF('Model inputs'!U134="","",'Model inputs'!U134)</f>
        <v>51.713285356992</v>
      </c>
      <c r="V197" s="12" t="n">
        <f aca="false">IF('Model inputs'!V134="","",'Model inputs'!V134)</f>
        <v>56.7474263276121</v>
      </c>
      <c r="W197" s="12" t="n">
        <f aca="false">IF('Model inputs'!W134="","",'Model inputs'!W134)</f>
        <v>61.9598200456801</v>
      </c>
      <c r="X197" s="12" t="n">
        <f aca="false">IF('Model inputs'!X134="","",'Model inputs'!X134)</f>
        <v>67.3615827776009</v>
      </c>
      <c r="Y197" s="12" t="n">
        <f aca="false">IF('Model inputs'!Y134="","",'Model inputs'!Y134)</f>
        <v>72.9643204942286</v>
      </c>
    </row>
    <row r="198" customFormat="false" ht="18" hidden="false" customHeight="false" outlineLevel="0" collapsed="false">
      <c r="A198" s="27" t="s">
        <v>390</v>
      </c>
      <c r="B198" s="12" t="n">
        <v>0</v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f aca="false">'Model inputs'!K120*'Model inputs'!AA229+('Model inputs'!K166+'Model inputs'!K147)*'Model inputs'!AA227</f>
        <v>3.946</v>
      </c>
      <c r="L198" s="12" t="n">
        <f aca="false">'Model inputs'!L120*'Model inputs'!AA229+('Model inputs'!L166+'Model inputs'!L147)*'Model inputs'!AA227</f>
        <v>5.02995</v>
      </c>
      <c r="M198" s="12" t="n">
        <f aca="false">'Model inputs'!M120*'Model inputs'!AA229+('Model inputs'!M166+'Model inputs'!M147)*'Model inputs'!AA227</f>
        <v>6.0597025</v>
      </c>
      <c r="N198" s="12" t="n">
        <f aca="false">'Model inputs'!N120*'Model inputs'!AA229+('Model inputs'!N166+'Model inputs'!N147)*'Model inputs'!AA227</f>
        <v>7.037967375</v>
      </c>
      <c r="O198" s="12" t="n">
        <f aca="false">'Model inputs'!O120*'Model inputs'!AA229+('Model inputs'!O166+'Model inputs'!O147)*'Model inputs'!AA227</f>
        <v>7.96731900625</v>
      </c>
      <c r="P198" s="12" t="n">
        <f aca="false">'Model inputs'!P120*'Model inputs'!AA229+('Model inputs'!P166+'Model inputs'!P147)*'Model inputs'!AA227</f>
        <v>8.8502030559375</v>
      </c>
      <c r="Q198" s="12" t="n">
        <f aca="false">'Model inputs'!Q120*'Model inputs'!AA229+('Model inputs'!Q166+'Model inputs'!Q147)*'Model inputs'!AA227</f>
        <v>9.68894290314062</v>
      </c>
      <c r="R198" s="12" t="n">
        <f aca="false">'Model inputs'!R120*'Model inputs'!AA229+('Model inputs'!R166+'Model inputs'!R147)*'Model inputs'!AA227</f>
        <v>10.4857457579836</v>
      </c>
      <c r="S198" s="12" t="n">
        <f aca="false">'Model inputs'!S120*'Model inputs'!AA229+('Model inputs'!S166+'Model inputs'!S147)*'Model inputs'!AA227</f>
        <v>11.2427084700844</v>
      </c>
      <c r="T198" s="12" t="n">
        <f aca="false">'Model inputs'!T120*'Model inputs'!AA229+('Model inputs'!T166+'Model inputs'!T147)*'Model inputs'!AA227</f>
        <v>11.9618230465802</v>
      </c>
      <c r="U198" s="12" t="n">
        <f aca="false">'Model inputs'!U120*'Model inputs'!AA229+('Model inputs'!U166+'Model inputs'!U147)*'Model inputs'!AA227</f>
        <v>12.6449818942512</v>
      </c>
      <c r="V198" s="12" t="n">
        <f aca="false">'Model inputs'!V120*'Model inputs'!AA229+('Model inputs'!V166+'Model inputs'!V147)*'Model inputs'!AA227</f>
        <v>13.2939827995386</v>
      </c>
      <c r="W198" s="12" t="n">
        <f aca="false">'Model inputs'!W120*'Model inputs'!AA229+('Model inputs'!W166+'Model inputs'!W147)*'Model inputs'!AA227</f>
        <v>13.9105336595617</v>
      </c>
      <c r="X198" s="12" t="n">
        <f aca="false">'Model inputs'!X120*'Model inputs'!AA229+('Model inputs'!X166+'Model inputs'!X147)*'Model inputs'!AA227</f>
        <v>14.4962569765836</v>
      </c>
      <c r="Y198" s="12" t="n">
        <f aca="false">'Model inputs'!Y120*'Model inputs'!AA229+('Model inputs'!Y166+'Model inputs'!Y147)*'Model inputs'!AA227</f>
        <v>15.0526941277544</v>
      </c>
    </row>
    <row r="199" customFormat="false" ht="18" hidden="false" customHeight="false" outlineLevel="0" collapsed="false">
      <c r="A199" s="27" t="s">
        <v>391</v>
      </c>
      <c r="B199" s="12" t="n">
        <v>0</v>
      </c>
      <c r="C199" s="12" t="n">
        <v>0</v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f aca="false">'Model inputs'!K121*'Model inputs'!AA230+('Model inputs'!K167+'Model inputs'!K148)*'Model inputs'!AA228</f>
        <v>20.348</v>
      </c>
      <c r="L199" s="12" t="n">
        <f aca="false">'Model inputs'!L121*'Model inputs'!AA230+('Model inputs'!L167+'Model inputs'!L148)*'Model inputs'!AA228</f>
        <v>31.32824</v>
      </c>
      <c r="M199" s="12" t="n">
        <f aca="false">'Model inputs'!M121*'Model inputs'!AA230+('Model inputs'!M167+'Model inputs'!M148)*'Model inputs'!AA228</f>
        <v>43.2275952</v>
      </c>
      <c r="N199" s="12" t="n">
        <f aca="false">'Model inputs'!N121*'Model inputs'!AA230+('Model inputs'!N167+'Model inputs'!N148)*'Model inputs'!AA228</f>
        <v>56.141555296</v>
      </c>
      <c r="O199" s="12" t="n">
        <f aca="false">'Model inputs'!O121*'Model inputs'!AA230+('Model inputs'!O167+'Model inputs'!O148)*'Model inputs'!AA228</f>
        <v>70.17508739008</v>
      </c>
      <c r="P199" s="12" t="n">
        <f aca="false">'Model inputs'!P121*'Model inputs'!AA230+('Model inputs'!P167+'Model inputs'!P148)*'Model inputs'!AA228</f>
        <v>85.4435851622784</v>
      </c>
      <c r="Q199" s="12" t="n">
        <f aca="false">'Model inputs'!Q121*'Model inputs'!AA230+('Model inputs'!Q167+'Model inputs'!Q148)*'Model inputs'!AA228</f>
        <v>102.073912931033</v>
      </c>
      <c r="R199" s="12" t="n">
        <f aca="false">'Model inputs'!R121*'Model inputs'!AA230+('Model inputs'!R167+'Model inputs'!R148)*'Model inputs'!AA228</f>
        <v>120.205554091612</v>
      </c>
      <c r="S199" s="12" t="n">
        <f aca="false">'Model inputs'!S121*'Model inputs'!AA230+('Model inputs'!S167+'Model inputs'!S148)*'Model inputs'!AA228</f>
        <v>139.9918743709</v>
      </c>
      <c r="T199" s="12" t="n">
        <f aca="false">'Model inputs'!T121*'Model inputs'!AA230+('Model inputs'!T167+'Model inputs'!T148)*'Model inputs'!AA228</f>
        <v>161.601511380714</v>
      </c>
      <c r="U199" s="12" t="n">
        <f aca="false">'Model inputs'!U121*'Model inputs'!AA230+('Model inputs'!U167+'Model inputs'!U148)*'Model inputs'!AA228</f>
        <v>185.219903100055</v>
      </c>
      <c r="V199" s="12" t="n">
        <f aca="false">'Model inputs'!V121*'Model inputs'!AA230+('Model inputs'!V167+'Model inputs'!V148)*'Model inputs'!AA228</f>
        <v>211.050969179705</v>
      </c>
      <c r="W199" s="12" t="n">
        <f aca="false">'Model inputs'!W121*'Model inputs'!AA230+('Model inputs'!W167+'Model inputs'!W148)*'Model inputs'!AA228</f>
        <v>239.318960351926</v>
      </c>
      <c r="X199" s="12" t="n">
        <f aca="false">'Model inputs'!X121*'Model inputs'!AA230+('Model inputs'!X167+'Model inputs'!X148)*'Model inputs'!AA228</f>
        <v>270.270492756285</v>
      </c>
      <c r="Y199" s="12" t="n">
        <f aca="false">'Model inputs'!Y121*'Model inputs'!AA230+('Model inputs'!Y167+'Model inputs'!Y148)*'Model inputs'!AA228</f>
        <v>304.176785673697</v>
      </c>
    </row>
    <row r="200" customFormat="false" ht="18" hidden="false" customHeight="false" outlineLevel="0" collapsed="false">
      <c r="A200" s="27" t="s">
        <v>392</v>
      </c>
      <c r="B200" s="12" t="n">
        <v>0</v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f aca="false">IF('Model inputs'!J135="","",'Model inputs'!J135)</f>
        <v>0</v>
      </c>
      <c r="K200" s="12" t="n">
        <f aca="false">IF('Model inputs'!K135="","",'Model inputs'!K135)</f>
        <v>0</v>
      </c>
      <c r="L200" s="12" t="n">
        <f aca="false">IF('Model inputs'!L135="","",'Model inputs'!L135)</f>
        <v>0</v>
      </c>
      <c r="M200" s="12" t="n">
        <f aca="false">IF('Model inputs'!M135="","",'Model inputs'!M135)</f>
        <v>0</v>
      </c>
      <c r="N200" s="12" t="n">
        <f aca="false">IF('Model inputs'!N135="","",'Model inputs'!N135)</f>
        <v>0</v>
      </c>
      <c r="O200" s="12" t="n">
        <f aca="false">IF('Model inputs'!O135="","",'Model inputs'!O135)</f>
        <v>0</v>
      </c>
      <c r="P200" s="12" t="n">
        <f aca="false">IF('Model inputs'!P135="","",'Model inputs'!P135)</f>
        <v>0</v>
      </c>
      <c r="Q200" s="12" t="n">
        <f aca="false">IF('Model inputs'!Q135="","",'Model inputs'!Q135)</f>
        <v>0</v>
      </c>
      <c r="R200" s="12" t="n">
        <f aca="false">IF('Model inputs'!R135="","",'Model inputs'!R135)</f>
        <v>0</v>
      </c>
      <c r="S200" s="12" t="n">
        <f aca="false">IF('Model inputs'!S135="","",'Model inputs'!S135)</f>
        <v>0</v>
      </c>
      <c r="T200" s="12" t="n">
        <f aca="false">IF('Model inputs'!T135="","",'Model inputs'!T135)</f>
        <v>0</v>
      </c>
      <c r="U200" s="12" t="n">
        <f aca="false">IF('Model inputs'!U135="","",'Model inputs'!U135)</f>
        <v>0</v>
      </c>
      <c r="V200" s="12" t="n">
        <f aca="false">IF('Model inputs'!V135="","",'Model inputs'!V135)</f>
        <v>0</v>
      </c>
      <c r="W200" s="12" t="n">
        <f aca="false">IF('Model inputs'!W135="","",'Model inputs'!W135)</f>
        <v>0</v>
      </c>
      <c r="X200" s="12" t="n">
        <f aca="false">IF('Model inputs'!X135="","",'Model inputs'!X135)</f>
        <v>0</v>
      </c>
      <c r="Y200" s="12" t="n">
        <f aca="false">IF('Model inputs'!Y135="","",'Model inputs'!Y135)</f>
        <v>0</v>
      </c>
    </row>
    <row r="201" customFormat="false" ht="18" hidden="false" customHeight="false" outlineLevel="0" collapsed="false">
      <c r="A201" s="27" t="s">
        <v>393</v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f aca="false">'Model inputs'!K231*'Model inputs'!AA233</f>
        <v>0</v>
      </c>
      <c r="L201" s="12" t="n">
        <f aca="false">'Model inputs'!L231*'Model inputs'!AA233</f>
        <v>0</v>
      </c>
      <c r="M201" s="12" t="n">
        <f aca="false">'Model inputs'!M231*'Model inputs'!AA233</f>
        <v>0</v>
      </c>
      <c r="N201" s="12" t="n">
        <f aca="false">'Model inputs'!N231*'Model inputs'!AA233</f>
        <v>0</v>
      </c>
      <c r="O201" s="12" t="n">
        <f aca="false">'Model inputs'!O231*'Model inputs'!AA233</f>
        <v>0</v>
      </c>
      <c r="P201" s="12" t="n">
        <f aca="false">'Model inputs'!P231*'Model inputs'!AA233</f>
        <v>0</v>
      </c>
      <c r="Q201" s="12" t="n">
        <f aca="false">'Model inputs'!Q231*'Model inputs'!AA233</f>
        <v>0</v>
      </c>
      <c r="R201" s="12" t="n">
        <f aca="false">'Model inputs'!R231*'Model inputs'!AA233</f>
        <v>0</v>
      </c>
      <c r="S201" s="12" t="n">
        <f aca="false">'Model inputs'!S231*'Model inputs'!AA233</f>
        <v>0</v>
      </c>
      <c r="T201" s="12" t="n">
        <f aca="false">'Model inputs'!T231*'Model inputs'!AA233</f>
        <v>0</v>
      </c>
      <c r="U201" s="12" t="n">
        <f aca="false">'Model inputs'!U231*'Model inputs'!AA233</f>
        <v>0</v>
      </c>
      <c r="V201" s="12" t="n">
        <f aca="false">'Model inputs'!V231*'Model inputs'!AA233</f>
        <v>0</v>
      </c>
      <c r="W201" s="12" t="n">
        <f aca="false">'Model inputs'!W231*'Model inputs'!AA233</f>
        <v>0</v>
      </c>
      <c r="X201" s="12" t="n">
        <f aca="false">'Model inputs'!X231*'Model inputs'!AA233</f>
        <v>0</v>
      </c>
      <c r="Y201" s="12" t="n">
        <f aca="false">'Model inputs'!Y231*'Model inputs'!AA233</f>
        <v>0</v>
      </c>
    </row>
    <row r="202" customFormat="false" ht="18" hidden="false" customHeight="false" outlineLevel="0" collapsed="false">
      <c r="A202" s="27" t="s">
        <v>394</v>
      </c>
      <c r="B202" s="12" t="n">
        <v>0</v>
      </c>
      <c r="C202" s="12" t="n">
        <v>0</v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f aca="false">'Model inputs'!K232*'Model inputs'!AA234</f>
        <v>0</v>
      </c>
      <c r="L202" s="12" t="n">
        <f aca="false">'Model inputs'!L232*'Model inputs'!AA234</f>
        <v>0</v>
      </c>
      <c r="M202" s="12" t="n">
        <f aca="false">'Model inputs'!M232*'Model inputs'!AA234</f>
        <v>0</v>
      </c>
      <c r="N202" s="12" t="n">
        <f aca="false">'Model inputs'!N232*'Model inputs'!AA234</f>
        <v>0</v>
      </c>
      <c r="O202" s="12" t="n">
        <f aca="false">'Model inputs'!O232*'Model inputs'!AA234</f>
        <v>0</v>
      </c>
      <c r="P202" s="12" t="n">
        <f aca="false">'Model inputs'!P232*'Model inputs'!AA234</f>
        <v>0</v>
      </c>
      <c r="Q202" s="12" t="n">
        <f aca="false">'Model inputs'!Q232*'Model inputs'!AA234</f>
        <v>0</v>
      </c>
      <c r="R202" s="12" t="n">
        <f aca="false">'Model inputs'!R232*'Model inputs'!AA234</f>
        <v>0</v>
      </c>
      <c r="S202" s="12" t="n">
        <f aca="false">'Model inputs'!S232*'Model inputs'!AA234</f>
        <v>0</v>
      </c>
      <c r="T202" s="12" t="n">
        <f aca="false">'Model inputs'!T232*'Model inputs'!AA234</f>
        <v>0</v>
      </c>
      <c r="U202" s="12" t="n">
        <f aca="false">'Model inputs'!U232*'Model inputs'!AA234</f>
        <v>0</v>
      </c>
      <c r="V202" s="12" t="n">
        <f aca="false">'Model inputs'!V232*'Model inputs'!AA234</f>
        <v>0</v>
      </c>
      <c r="W202" s="12" t="n">
        <f aca="false">'Model inputs'!W232*'Model inputs'!AA234</f>
        <v>0</v>
      </c>
      <c r="X202" s="12" t="n">
        <f aca="false">'Model inputs'!X232*'Model inputs'!AA234</f>
        <v>0</v>
      </c>
      <c r="Y202" s="12" t="n">
        <f aca="false">'Model inputs'!Y232*'Model inputs'!AA234</f>
        <v>0</v>
      </c>
    </row>
    <row r="203" customFormat="false" ht="18" hidden="false" customHeight="false" outlineLevel="0" collapsed="false">
      <c r="A203" s="27" t="s">
        <v>395</v>
      </c>
      <c r="AA203" s="12" t="n">
        <f aca="false">'Gainsay drivers · Gainsay fixed'!B16</f>
        <v>30</v>
      </c>
    </row>
    <row r="204" customFormat="false" ht="18" hidden="false" customHeight="false" outlineLevel="0" collapsed="false">
      <c r="A204" s="27" t="s">
        <v>396</v>
      </c>
      <c r="AA204" s="12" t="n">
        <f aca="false">'Gainsay drivers · Gainsay fixed'!B16</f>
        <v>30</v>
      </c>
    </row>
    <row r="205" customFormat="false" ht="18" hidden="false" customHeight="false" outlineLevel="0" collapsed="false">
      <c r="A205" s="27" t="s">
        <v>397</v>
      </c>
      <c r="AA205" s="12" t="n">
        <f aca="false">'Model inputs'!Z79+'Model inputs'!Z136-'Model inputs'!Z131</f>
        <v>8084.99901774236</v>
      </c>
    </row>
    <row r="206" customFormat="false" ht="18" hidden="false" customHeight="false" outlineLevel="0" collapsed="false">
      <c r="A206" s="27" t="s">
        <v>398</v>
      </c>
      <c r="AA206" s="22" t="n">
        <f aca="false">'Gainsay drivers · Gainsay fixed'!B33</f>
        <v>500</v>
      </c>
    </row>
    <row r="207" customFormat="false" ht="18" hidden="false" customHeight="false" outlineLevel="0" collapsed="false">
      <c r="A207" s="27" t="s">
        <v>399</v>
      </c>
      <c r="B207" s="22" t="n">
        <v>0</v>
      </c>
      <c r="C207" s="22" t="n">
        <v>0</v>
      </c>
      <c r="D207" s="22" t="n">
        <v>0</v>
      </c>
      <c r="E207" s="22" t="n">
        <v>0</v>
      </c>
      <c r="F207" s="22" t="n">
        <v>0</v>
      </c>
      <c r="G207" s="22" t="n">
        <v>0</v>
      </c>
      <c r="H207" s="22" t="n">
        <v>0</v>
      </c>
      <c r="I207" s="22" t="n">
        <v>0</v>
      </c>
      <c r="J207" s="22" t="n">
        <f aca="false">IF('Model inputs'!J143="","",'Model inputs'!J143)</f>
        <v>0</v>
      </c>
      <c r="K207" s="22" t="n">
        <f aca="false">IF('Model inputs'!K143="","",'Model inputs'!K143)</f>
        <v>0</v>
      </c>
      <c r="L207" s="22" t="n">
        <f aca="false">IF('Model inputs'!L143="","",'Model inputs'!L143)</f>
        <v>0</v>
      </c>
      <c r="M207" s="22" t="n">
        <f aca="false">IF('Model inputs'!M143="","",'Model inputs'!M143)</f>
        <v>0</v>
      </c>
      <c r="N207" s="22" t="n">
        <f aca="false">IF('Model inputs'!N143="","",'Model inputs'!N143)</f>
        <v>1</v>
      </c>
      <c r="O207" s="22" t="n">
        <f aca="false">IF('Model inputs'!O143="","",'Model inputs'!O143)</f>
        <v>1</v>
      </c>
      <c r="P207" s="22" t="n">
        <f aca="false">IF('Model inputs'!P143="","",'Model inputs'!P143)</f>
        <v>1</v>
      </c>
      <c r="Q207" s="22" t="n">
        <f aca="false">IF('Model inputs'!Q143="","",'Model inputs'!Q143)</f>
        <v>1</v>
      </c>
      <c r="R207" s="22" t="n">
        <f aca="false">IF('Model inputs'!R143="","",'Model inputs'!R143)</f>
        <v>1</v>
      </c>
      <c r="S207" s="22" t="n">
        <f aca="false">IF('Model inputs'!S143="","",'Model inputs'!S143)</f>
        <v>1</v>
      </c>
      <c r="T207" s="22" t="n">
        <f aca="false">IF('Model inputs'!T143="","",'Model inputs'!T143)</f>
        <v>1</v>
      </c>
      <c r="U207" s="22" t="n">
        <f aca="false">IF('Model inputs'!U143="","",'Model inputs'!U143)</f>
        <v>1</v>
      </c>
      <c r="V207" s="22" t="n">
        <f aca="false">IF('Model inputs'!V143="","",'Model inputs'!V143)</f>
        <v>1</v>
      </c>
      <c r="W207" s="22" t="n">
        <f aca="false">IF('Model inputs'!W143="","",'Model inputs'!W143)</f>
        <v>1</v>
      </c>
      <c r="X207" s="22" t="n">
        <f aca="false">IF('Model inputs'!X143="","",'Model inputs'!X143)</f>
        <v>1</v>
      </c>
      <c r="Y207" s="22" t="n">
        <f aca="false">IF('Model inputs'!Y143="","",'Model inputs'!Y143)</f>
        <v>1</v>
      </c>
    </row>
    <row r="208" customFormat="false" ht="18" hidden="false" customHeight="false" outlineLevel="0" collapsed="false">
      <c r="A208" s="27" t="s">
        <v>400</v>
      </c>
      <c r="B208" s="22" t="n">
        <v>0</v>
      </c>
      <c r="C208" s="22" t="n">
        <v>0</v>
      </c>
      <c r="D208" s="22" t="n">
        <v>0</v>
      </c>
      <c r="E208" s="22" t="n">
        <v>0</v>
      </c>
      <c r="F208" s="22" t="n">
        <v>0</v>
      </c>
      <c r="G208" s="22" t="n">
        <v>0</v>
      </c>
      <c r="H208" s="22" t="n">
        <v>0</v>
      </c>
      <c r="I208" s="22" t="n">
        <v>0</v>
      </c>
      <c r="J208" s="22" t="n">
        <f aca="false">IF('Model inputs'!J146="","",'Model inputs'!J146)</f>
        <v>0</v>
      </c>
      <c r="K208" s="22" t="n">
        <f aca="false">IF('Model inputs'!K146="","",'Model inputs'!K146)</f>
        <v>0.05</v>
      </c>
      <c r="L208" s="22" t="n">
        <f aca="false">IF('Model inputs'!L146="","",'Model inputs'!L146)</f>
        <v>0.05</v>
      </c>
      <c r="M208" s="22" t="n">
        <f aca="false">IF('Model inputs'!M146="","",'Model inputs'!M146)</f>
        <v>0.05</v>
      </c>
      <c r="N208" s="22" t="n">
        <f aca="false">IF('Model inputs'!N146="","",'Model inputs'!N146)</f>
        <v>0.05</v>
      </c>
      <c r="O208" s="22" t="n">
        <f aca="false">IF('Model inputs'!O146="","",'Model inputs'!O146)</f>
        <v>0.05</v>
      </c>
      <c r="P208" s="22" t="n">
        <f aca="false">IF('Model inputs'!P146="","",'Model inputs'!P146)</f>
        <v>0.05</v>
      </c>
      <c r="Q208" s="22" t="n">
        <f aca="false">IF('Model inputs'!Q146="","",'Model inputs'!Q146)</f>
        <v>0.05</v>
      </c>
      <c r="R208" s="22" t="n">
        <f aca="false">IF('Model inputs'!R146="","",'Model inputs'!R146)</f>
        <v>0.05</v>
      </c>
      <c r="S208" s="22" t="n">
        <f aca="false">IF('Model inputs'!S146="","",'Model inputs'!S146)</f>
        <v>0.05</v>
      </c>
      <c r="T208" s="22" t="n">
        <f aca="false">IF('Model inputs'!T146="","",'Model inputs'!T146)</f>
        <v>0.05</v>
      </c>
      <c r="U208" s="22" t="n">
        <f aca="false">IF('Model inputs'!U146="","",'Model inputs'!U146)</f>
        <v>0.05</v>
      </c>
      <c r="V208" s="22" t="n">
        <f aca="false">IF('Model inputs'!V146="","",'Model inputs'!V146)</f>
        <v>0.05</v>
      </c>
      <c r="W208" s="22" t="n">
        <f aca="false">IF('Model inputs'!W146="","",'Model inputs'!W146)</f>
        <v>0.05</v>
      </c>
      <c r="X208" s="22" t="n">
        <f aca="false">IF('Model inputs'!X146="","",'Model inputs'!X146)</f>
        <v>0.05</v>
      </c>
      <c r="Y208" s="22" t="n">
        <f aca="false">IF('Model inputs'!Y146="","",'Model inputs'!Y146)</f>
        <v>0.05</v>
      </c>
    </row>
    <row r="209" customFormat="false" ht="18" hidden="false" customHeight="false" outlineLevel="0" collapsed="false">
      <c r="A209" s="27" t="s">
        <v>401</v>
      </c>
      <c r="AA209" s="12" t="n">
        <f aca="false">'Gainsay drivers · Gainsay fixed'!B20</f>
        <v>3000</v>
      </c>
    </row>
    <row r="210" customFormat="false" ht="18" hidden="false" customHeight="false" outlineLevel="0" collapsed="false">
      <c r="A210" s="27" t="s">
        <v>402</v>
      </c>
      <c r="AA210" s="12" t="n">
        <f aca="false">'Gainsay drivers · Gainsay fixed'!B20</f>
        <v>3000</v>
      </c>
    </row>
    <row r="211" customFormat="false" ht="18" hidden="false" customHeight="false" outlineLevel="0" collapsed="false">
      <c r="A211" s="27" t="s">
        <v>403</v>
      </c>
      <c r="AA211" s="28" t="n">
        <f aca="false">'Gainsay drivers · Gainsay fixed'!B5</f>
        <v>0.026</v>
      </c>
    </row>
    <row r="212" customFormat="false" ht="18" hidden="false" customHeight="false" outlineLevel="0" collapsed="false">
      <c r="A212" s="27" t="s">
        <v>404</v>
      </c>
      <c r="AA212" s="28" t="n">
        <f aca="false">'Gainsay drivers · Gainsay fixed'!B5</f>
        <v>0.026</v>
      </c>
    </row>
    <row r="213" customFormat="false" ht="18" hidden="false" customHeight="false" outlineLevel="0" collapsed="false">
      <c r="A213" s="27" t="s">
        <v>405</v>
      </c>
      <c r="AA213" s="22" t="n">
        <f aca="false">'Gainsay drivers · Gainsay fixed'!B27</f>
        <v>50</v>
      </c>
    </row>
    <row r="214" customFormat="false" ht="18" hidden="false" customHeight="false" outlineLevel="0" collapsed="false">
      <c r="A214" s="27" t="s">
        <v>406</v>
      </c>
      <c r="AA214" s="22" t="n">
        <f aca="false">'Gainsay drivers · Gainsay fixed'!B27</f>
        <v>50</v>
      </c>
    </row>
    <row r="215" customFormat="false" ht="18" hidden="false" customHeight="false" outlineLevel="0" collapsed="false">
      <c r="A215" s="27" t="s">
        <v>407</v>
      </c>
      <c r="AA215" s="12" t="n">
        <f aca="false">'Gainsay drivers · Gainsay fixed'!B28</f>
        <v>400</v>
      </c>
    </row>
    <row r="216" customFormat="false" ht="18" hidden="false" customHeight="false" outlineLevel="0" collapsed="false">
      <c r="A216" s="27" t="s">
        <v>408</v>
      </c>
      <c r="AA216" s="12" t="n">
        <f aca="false">'Gainsay drivers · Gainsay fixed'!B28</f>
        <v>400</v>
      </c>
    </row>
    <row r="217" customFormat="false" ht="18" hidden="false" customHeight="false" outlineLevel="0" collapsed="false">
      <c r="A217" s="27" t="s">
        <v>409</v>
      </c>
      <c r="AA217" s="12" t="n">
        <f aca="false">'Gainsay drivers · Gainsay fixed'!B19</f>
        <v>500</v>
      </c>
    </row>
    <row r="218" customFormat="false" ht="18" hidden="false" customHeight="false" outlineLevel="0" collapsed="false">
      <c r="A218" s="27" t="s">
        <v>410</v>
      </c>
      <c r="AA218" s="12" t="n">
        <f aca="false">'Gainsay drivers · Gainsay fixed'!B19</f>
        <v>500</v>
      </c>
    </row>
    <row r="219" customFormat="false" ht="18" hidden="false" customHeight="false" outlineLevel="0" collapsed="false">
      <c r="A219" s="27" t="s">
        <v>411</v>
      </c>
      <c r="AA219" s="22" t="n">
        <f aca="false">'Gainsay drivers · Gainsay fixed'!B11</f>
        <v>20</v>
      </c>
    </row>
    <row r="220" customFormat="false" ht="18" hidden="false" customHeight="false" outlineLevel="0" collapsed="false">
      <c r="A220" s="27" t="s">
        <v>412</v>
      </c>
      <c r="AA220" s="22" t="n">
        <f aca="false">'Gainsay drivers · Gainsay fixed'!B11</f>
        <v>20</v>
      </c>
    </row>
    <row r="221" customFormat="false" ht="18" hidden="false" customHeight="false" outlineLevel="0" collapsed="false">
      <c r="A221" s="27" t="s">
        <v>413</v>
      </c>
      <c r="B221" s="22" t="n">
        <v>0</v>
      </c>
      <c r="C221" s="22" t="n">
        <v>0</v>
      </c>
      <c r="D221" s="22" t="n">
        <v>0</v>
      </c>
      <c r="E221" s="22" t="n">
        <v>0</v>
      </c>
      <c r="F221" s="22" t="n">
        <v>0</v>
      </c>
      <c r="G221" s="22" t="n">
        <v>0</v>
      </c>
      <c r="H221" s="22" t="n">
        <v>0</v>
      </c>
      <c r="I221" s="22" t="n">
        <v>0</v>
      </c>
      <c r="J221" s="22" t="n">
        <v>0</v>
      </c>
      <c r="K221" s="22" t="n">
        <f aca="false">0</f>
        <v>0</v>
      </c>
      <c r="L221" s="22" t="n">
        <f aca="false">IF('Model inputs'!K221="","",'Model inputs'!K221)</f>
        <v>0</v>
      </c>
      <c r="M221" s="22" t="n">
        <f aca="false">IF('Model inputs'!L221="","",'Model inputs'!L221)</f>
        <v>0</v>
      </c>
      <c r="N221" s="22" t="n">
        <f aca="false">IF('Model inputs'!M221="","",'Model inputs'!M221)</f>
        <v>0</v>
      </c>
      <c r="O221" s="22" t="n">
        <f aca="false">IF('Model inputs'!N221="","",'Model inputs'!N221)</f>
        <v>0</v>
      </c>
      <c r="P221" s="22" t="n">
        <f aca="false">IF('Model inputs'!O221="","",'Model inputs'!O221)</f>
        <v>0</v>
      </c>
      <c r="Q221" s="22" t="n">
        <f aca="false">IF('Model inputs'!P221="","",'Model inputs'!P221)</f>
        <v>0</v>
      </c>
      <c r="R221" s="22" t="n">
        <f aca="false">IF('Model inputs'!Q221="","",'Model inputs'!Q221)</f>
        <v>0</v>
      </c>
      <c r="S221" s="22" t="n">
        <f aca="false">IF('Model inputs'!R221="","",'Model inputs'!R221)</f>
        <v>0</v>
      </c>
      <c r="T221" s="22" t="n">
        <f aca="false">IF('Model inputs'!S221="","",'Model inputs'!S221)</f>
        <v>0</v>
      </c>
      <c r="U221" s="22" t="n">
        <f aca="false">IF('Model inputs'!T221="","",'Model inputs'!T221)</f>
        <v>0</v>
      </c>
      <c r="V221" s="22" t="n">
        <f aca="false">IF('Model inputs'!U221="","",'Model inputs'!U221)</f>
        <v>0</v>
      </c>
      <c r="W221" s="22" t="n">
        <f aca="false">IF('Model inputs'!V221="","",'Model inputs'!V221)</f>
        <v>0</v>
      </c>
      <c r="X221" s="22" t="n">
        <f aca="false">IF('Model inputs'!W221="","",'Model inputs'!W221)</f>
        <v>0</v>
      </c>
      <c r="Y221" s="22" t="n">
        <f aca="false">IF('Model inputs'!X221="","",'Model inputs'!X221)</f>
        <v>0</v>
      </c>
    </row>
    <row r="222" customFormat="false" ht="18" hidden="false" customHeight="false" outlineLevel="0" collapsed="false">
      <c r="A222" s="27" t="s">
        <v>414</v>
      </c>
      <c r="B222" s="22" t="n">
        <v>0</v>
      </c>
      <c r="C222" s="22" t="n">
        <v>0</v>
      </c>
      <c r="D222" s="22" t="n">
        <v>0</v>
      </c>
      <c r="E222" s="22" t="n">
        <v>0</v>
      </c>
      <c r="F222" s="22" t="n">
        <v>0</v>
      </c>
      <c r="G222" s="22" t="n">
        <v>0</v>
      </c>
      <c r="H222" s="22" t="n">
        <v>0</v>
      </c>
      <c r="I222" s="22" t="n">
        <v>0</v>
      </c>
      <c r="J222" s="22" t="n">
        <v>0</v>
      </c>
      <c r="K222" s="22" t="n">
        <f aca="false">0.1</f>
        <v>0.1</v>
      </c>
      <c r="L222" s="22" t="n">
        <f aca="false">IF('Model inputs'!K222="","",'Model inputs'!K222)</f>
        <v>0.1</v>
      </c>
      <c r="M222" s="22" t="n">
        <f aca="false">IF('Model inputs'!L222="","",'Model inputs'!L222)</f>
        <v>0.1</v>
      </c>
      <c r="N222" s="22" t="n">
        <f aca="false">IF('Model inputs'!M222="","",'Model inputs'!M222)</f>
        <v>0.1</v>
      </c>
      <c r="O222" s="22" t="n">
        <f aca="false">IF('Model inputs'!N222="","",'Model inputs'!N222)</f>
        <v>0.1</v>
      </c>
      <c r="P222" s="22" t="n">
        <f aca="false">IF('Model inputs'!O222="","",'Model inputs'!O222)</f>
        <v>0.1</v>
      </c>
      <c r="Q222" s="22" t="n">
        <f aca="false">IF('Model inputs'!P222="","",'Model inputs'!P222)</f>
        <v>0.1</v>
      </c>
      <c r="R222" s="22" t="n">
        <f aca="false">IF('Model inputs'!Q222="","",'Model inputs'!Q222)</f>
        <v>0.1</v>
      </c>
      <c r="S222" s="22" t="n">
        <f aca="false">IF('Model inputs'!R222="","",'Model inputs'!R222)</f>
        <v>0.1</v>
      </c>
      <c r="T222" s="22" t="n">
        <f aca="false">IF('Model inputs'!S222="","",'Model inputs'!S222)</f>
        <v>0.1</v>
      </c>
      <c r="U222" s="22" t="n">
        <f aca="false">IF('Model inputs'!T222="","",'Model inputs'!T222)</f>
        <v>0.1</v>
      </c>
      <c r="V222" s="22" t="n">
        <f aca="false">IF('Model inputs'!U222="","",'Model inputs'!U222)</f>
        <v>0.1</v>
      </c>
      <c r="W222" s="22" t="n">
        <f aca="false">IF('Model inputs'!V222="","",'Model inputs'!V222)</f>
        <v>0.1</v>
      </c>
      <c r="X222" s="22" t="n">
        <f aca="false">IF('Model inputs'!W222="","",'Model inputs'!W222)</f>
        <v>0.1</v>
      </c>
      <c r="Y222" s="22" t="n">
        <f aca="false">IF('Model inputs'!X222="","",'Model inputs'!X222)</f>
        <v>0.1</v>
      </c>
    </row>
    <row r="223" customFormat="false" ht="18" hidden="false" customHeight="false" outlineLevel="0" collapsed="false">
      <c r="A223" s="27" t="s">
        <v>415</v>
      </c>
      <c r="B223" s="22" t="n">
        <v>0</v>
      </c>
      <c r="C223" s="22" t="n">
        <v>0</v>
      </c>
      <c r="D223" s="22" t="n">
        <v>0</v>
      </c>
      <c r="E223" s="22" t="n">
        <v>0</v>
      </c>
      <c r="F223" s="22" t="n">
        <v>0</v>
      </c>
      <c r="G223" s="22" t="n">
        <v>0</v>
      </c>
      <c r="H223" s="22" t="n">
        <v>0</v>
      </c>
      <c r="I223" s="22" t="n">
        <v>0</v>
      </c>
      <c r="J223" s="22" t="n">
        <v>0</v>
      </c>
      <c r="K223" s="22" t="n">
        <f aca="false">0</f>
        <v>0</v>
      </c>
      <c r="L223" s="22" t="n">
        <f aca="false">IF('Model inputs'!K223="","",'Model inputs'!K223)</f>
        <v>0</v>
      </c>
      <c r="M223" s="22" t="n">
        <f aca="false">IF('Model inputs'!L223="","",'Model inputs'!L223)</f>
        <v>0</v>
      </c>
      <c r="N223" s="22" t="n">
        <f aca="false">IF('Model inputs'!M223="","",'Model inputs'!M223)</f>
        <v>0</v>
      </c>
      <c r="O223" s="22" t="n">
        <f aca="false">IF('Model inputs'!N223="","",'Model inputs'!N223)</f>
        <v>0</v>
      </c>
      <c r="P223" s="22" t="n">
        <f aca="false">IF('Model inputs'!O223="","",'Model inputs'!O223)</f>
        <v>0</v>
      </c>
      <c r="Q223" s="22" t="n">
        <f aca="false">IF('Model inputs'!P223="","",'Model inputs'!P223)</f>
        <v>0</v>
      </c>
      <c r="R223" s="22" t="n">
        <f aca="false">IF('Model inputs'!Q223="","",'Model inputs'!Q223)</f>
        <v>0</v>
      </c>
      <c r="S223" s="22" t="n">
        <f aca="false">IF('Model inputs'!R223="","",'Model inputs'!R223)</f>
        <v>0</v>
      </c>
      <c r="T223" s="22" t="n">
        <f aca="false">IF('Model inputs'!S223="","",'Model inputs'!S223)</f>
        <v>0</v>
      </c>
      <c r="U223" s="22" t="n">
        <f aca="false">IF('Model inputs'!T223="","",'Model inputs'!T223)</f>
        <v>0</v>
      </c>
      <c r="V223" s="22" t="n">
        <f aca="false">IF('Model inputs'!U223="","",'Model inputs'!U223)</f>
        <v>0</v>
      </c>
      <c r="W223" s="22" t="n">
        <f aca="false">IF('Model inputs'!V223="","",'Model inputs'!V223)</f>
        <v>0</v>
      </c>
      <c r="X223" s="22" t="n">
        <f aca="false">IF('Model inputs'!W223="","",'Model inputs'!W223)</f>
        <v>0</v>
      </c>
      <c r="Y223" s="22" t="n">
        <f aca="false">IF('Model inputs'!X223="","",'Model inputs'!X223)</f>
        <v>0</v>
      </c>
    </row>
    <row r="224" customFormat="false" ht="18" hidden="false" customHeight="false" outlineLevel="0" collapsed="false">
      <c r="A224" s="27" t="s">
        <v>416</v>
      </c>
      <c r="B224" s="22" t="n">
        <v>0</v>
      </c>
      <c r="C224" s="22" t="n">
        <v>0</v>
      </c>
      <c r="D224" s="22" t="n">
        <v>0</v>
      </c>
      <c r="E224" s="22" t="n">
        <v>0</v>
      </c>
      <c r="F224" s="22" t="n">
        <v>0</v>
      </c>
      <c r="G224" s="22" t="n">
        <v>0</v>
      </c>
      <c r="H224" s="22" t="n">
        <v>0</v>
      </c>
      <c r="I224" s="22" t="n">
        <v>0</v>
      </c>
      <c r="J224" s="22" t="n">
        <v>0</v>
      </c>
      <c r="K224" s="22" t="n">
        <f aca="false">0.1</f>
        <v>0.1</v>
      </c>
      <c r="L224" s="22" t="n">
        <f aca="false">IF('Model inputs'!K224="","",'Model inputs'!K224)</f>
        <v>0.1</v>
      </c>
      <c r="M224" s="22" t="n">
        <f aca="false">IF('Model inputs'!L224="","",'Model inputs'!L224)</f>
        <v>0.1</v>
      </c>
      <c r="N224" s="22" t="n">
        <f aca="false">IF('Model inputs'!M224="","",'Model inputs'!M224)</f>
        <v>0.1</v>
      </c>
      <c r="O224" s="22" t="n">
        <f aca="false">IF('Model inputs'!N224="","",'Model inputs'!N224)</f>
        <v>0.1</v>
      </c>
      <c r="P224" s="22" t="n">
        <f aca="false">IF('Model inputs'!O224="","",'Model inputs'!O224)</f>
        <v>0.1</v>
      </c>
      <c r="Q224" s="22" t="n">
        <f aca="false">IF('Model inputs'!P224="","",'Model inputs'!P224)</f>
        <v>0.1</v>
      </c>
      <c r="R224" s="22" t="n">
        <f aca="false">IF('Model inputs'!Q224="","",'Model inputs'!Q224)</f>
        <v>0.1</v>
      </c>
      <c r="S224" s="22" t="n">
        <f aca="false">IF('Model inputs'!R224="","",'Model inputs'!R224)</f>
        <v>0.1</v>
      </c>
      <c r="T224" s="22" t="n">
        <f aca="false">IF('Model inputs'!S224="","",'Model inputs'!S224)</f>
        <v>0.1</v>
      </c>
      <c r="U224" s="22" t="n">
        <f aca="false">IF('Model inputs'!T224="","",'Model inputs'!T224)</f>
        <v>0.1</v>
      </c>
      <c r="V224" s="22" t="n">
        <f aca="false">IF('Model inputs'!U224="","",'Model inputs'!U224)</f>
        <v>0.1</v>
      </c>
      <c r="W224" s="22" t="n">
        <f aca="false">IF('Model inputs'!V224="","",'Model inputs'!V224)</f>
        <v>0.1</v>
      </c>
      <c r="X224" s="22" t="n">
        <f aca="false">IF('Model inputs'!W224="","",'Model inputs'!W224)</f>
        <v>0.1</v>
      </c>
      <c r="Y224" s="22" t="n">
        <f aca="false">IF('Model inputs'!X224="","",'Model inputs'!X224)</f>
        <v>0.1</v>
      </c>
    </row>
    <row r="225" customFormat="false" ht="18" hidden="false" customHeight="false" outlineLevel="0" collapsed="false">
      <c r="A225" s="27" t="s">
        <v>417</v>
      </c>
      <c r="AA225" s="22" t="n">
        <f aca="false">'Gainsay drivers · Gainsay fixed'!B8</f>
        <v>2</v>
      </c>
    </row>
    <row r="226" customFormat="false" ht="18" hidden="false" customHeight="false" outlineLevel="0" collapsed="false">
      <c r="A226" s="27" t="s">
        <v>418</v>
      </c>
      <c r="AA226" s="22" t="n">
        <f aca="false">'Gainsay drivers · Gainsay fixed'!B8</f>
        <v>2</v>
      </c>
    </row>
    <row r="227" customFormat="false" ht="18" hidden="false" customHeight="false" outlineLevel="0" collapsed="false">
      <c r="A227" s="27" t="s">
        <v>419</v>
      </c>
      <c r="AA227" s="12" t="n">
        <f aca="false">'Gainsay drivers · Gainsay fixed'!B24</f>
        <v>0.3</v>
      </c>
    </row>
    <row r="228" customFormat="false" ht="18" hidden="false" customHeight="false" outlineLevel="0" collapsed="false">
      <c r="A228" s="27" t="s">
        <v>420</v>
      </c>
      <c r="AA228" s="12" t="n">
        <f aca="false">'Gainsay drivers · Gainsay fixed'!B24</f>
        <v>0.3</v>
      </c>
    </row>
    <row r="229" customFormat="false" ht="18" hidden="false" customHeight="false" outlineLevel="0" collapsed="false">
      <c r="A229" s="27" t="s">
        <v>421</v>
      </c>
      <c r="AA229" s="22" t="n">
        <f aca="false">'Gainsay drivers · Gainsay fixed'!B23</f>
        <v>0.029</v>
      </c>
    </row>
    <row r="230" customFormat="false" ht="18" hidden="false" customHeight="false" outlineLevel="0" collapsed="false">
      <c r="A230" s="27" t="s">
        <v>422</v>
      </c>
      <c r="AA230" s="22" t="n">
        <f aca="false">'Gainsay drivers · Gainsay fixed'!B23</f>
        <v>0.029</v>
      </c>
    </row>
    <row r="231" customFormat="false" ht="18" hidden="false" customHeight="false" outlineLevel="0" collapsed="false">
      <c r="A231" s="27" t="s">
        <v>423</v>
      </c>
      <c r="B231" s="22" t="n">
        <v>0</v>
      </c>
      <c r="C231" s="22" t="n">
        <v>0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2" t="n">
        <f aca="false">IF(IF(IF(IFERROR(IF(ISERROR('Model inputs'!J231&gt;0),'Model inputs'!J231&gt;0,IF('Model inputs'!J231="","",'Model inputs'!J231&gt;0))=TRUE(),FALSE()),TRUE(),IF(IFERROR(IF(ISERROR('Model inputs'!K237&gt;0),'Model inputs'!K237&gt;0,IF('Model inputs'!K237="","",'Model inputs'!K237&gt;0))=TRUE(),FALSE()),TRUE(),IF(OR(IF(ISERROR('Model inputs'!J231&gt;0),'Model inputs'!J231&gt;0,IF('Model inputs'!J231="","",'Model inputs'!J231&gt;0))="",IF(ISERROR('Model inputs'!K237&gt;0),'Model inputs'!K237&gt;0,IF('Model inputs'!K237="","",'Model inputs'!K237&gt;0))=""),"",OR(IF(ISERROR('Model inputs'!J231&gt;0),'Model inputs'!J231&gt;0,IF('Model inputs'!J231="","",'Model inputs'!J231&gt;0)),IF(ISERROR('Model inputs'!K237&gt;0),'Model inputs'!K237&gt;0,IF('Model inputs'!K237="","",'Model inputs'!K237&gt;0))))))="",FALSE(),IF(IFERROR(IF(ISERROR('Model inputs'!J231&gt;0),'Model inputs'!J231&gt;0,IF('Model inputs'!J231="","",'Model inputs'!J231&gt;0))=TRUE(),FALSE()),TRUE(),IF(IFERROR(IF(ISERROR('Model inputs'!K237&gt;0),'Model inputs'!K237&gt;0,IF('Model inputs'!K237="","",'Model inputs'!K237&gt;0))=TRUE(),FALSE()),TRUE(),IF(OR(IF(ISERROR('Model inputs'!J231&gt;0),'Model inputs'!J231&gt;0,IF('Model inputs'!J231="","",'Model inputs'!J231&gt;0))="",IF(ISERROR('Model inputs'!K237&gt;0),'Model inputs'!K237&gt;0,IF('Model inputs'!K237="","",'Model inputs'!K237&gt;0))=""),"",OR(IF(ISERROR('Model inputs'!J231&gt;0),'Model inputs'!J231&gt;0,IF('Model inputs'!J231="","",'Model inputs'!J231&gt;0)),IF(ISERROR('Model inputs'!K237&gt;0),'Model inputs'!K237&gt;0,IF('Model inputs'!K237="","",'Model inputs'!K237&gt;0))))))),1,0)</f>
        <v>0</v>
      </c>
      <c r="L231" s="22" t="n">
        <f aca="false">IF(IF(IF(IFERROR(IF(ISERROR('Model inputs'!K231&gt;0),'Model inputs'!K231&gt;0,IF('Model inputs'!K231="","",'Model inputs'!K231&gt;0))=TRUE(),FALSE()),TRUE(),IF(IFERROR(IF(ISERROR('Model inputs'!L237&gt;0),'Model inputs'!L237&gt;0,IF('Model inputs'!L237="","",'Model inputs'!L237&gt;0))=TRUE(),FALSE()),TRUE(),IF(OR(IF(ISERROR('Model inputs'!K231&gt;0),'Model inputs'!K231&gt;0,IF('Model inputs'!K231="","",'Model inputs'!K231&gt;0))="",IF(ISERROR('Model inputs'!L237&gt;0),'Model inputs'!L237&gt;0,IF('Model inputs'!L237="","",'Model inputs'!L237&gt;0))=""),"",OR(IF(ISERROR('Model inputs'!K231&gt;0),'Model inputs'!K231&gt;0,IF('Model inputs'!K231="","",'Model inputs'!K231&gt;0)),IF(ISERROR('Model inputs'!L237&gt;0),'Model inputs'!L237&gt;0,IF('Model inputs'!L237="","",'Model inputs'!L237&gt;0))))))="",FALSE(),IF(IFERROR(IF(ISERROR('Model inputs'!K231&gt;0),'Model inputs'!K231&gt;0,IF('Model inputs'!K231="","",'Model inputs'!K231&gt;0))=TRUE(),FALSE()),TRUE(),IF(IFERROR(IF(ISERROR('Model inputs'!L237&gt;0),'Model inputs'!L237&gt;0,IF('Model inputs'!L237="","",'Model inputs'!L237&gt;0))=TRUE(),FALSE()),TRUE(),IF(OR(IF(ISERROR('Model inputs'!K231&gt;0),'Model inputs'!K231&gt;0,IF('Model inputs'!K231="","",'Model inputs'!K231&gt;0))="",IF(ISERROR('Model inputs'!L237&gt;0),'Model inputs'!L237&gt;0,IF('Model inputs'!L237="","",'Model inputs'!L237&gt;0))=""),"",OR(IF(ISERROR('Model inputs'!K231&gt;0),'Model inputs'!K231&gt;0,IF('Model inputs'!K231="","",'Model inputs'!K231&gt;0)),IF(ISERROR('Model inputs'!L237&gt;0),'Model inputs'!L237&gt;0,IF('Model inputs'!L237="","",'Model inputs'!L237&gt;0))))))),1,0)</f>
        <v>0</v>
      </c>
      <c r="M231" s="22" t="n">
        <f aca="false">IF(IF(IF(IFERROR(IF(ISERROR('Model inputs'!L231&gt;0),'Model inputs'!L231&gt;0,IF('Model inputs'!L231="","",'Model inputs'!L231&gt;0))=TRUE(),FALSE()),TRUE(),IF(IFERROR(IF(ISERROR('Model inputs'!M237&gt;0),'Model inputs'!M237&gt;0,IF('Model inputs'!M237="","",'Model inputs'!M237&gt;0))=TRUE(),FALSE()),TRUE(),IF(OR(IF(ISERROR('Model inputs'!L231&gt;0),'Model inputs'!L231&gt;0,IF('Model inputs'!L231="","",'Model inputs'!L231&gt;0))="",IF(ISERROR('Model inputs'!M237&gt;0),'Model inputs'!M237&gt;0,IF('Model inputs'!M237="","",'Model inputs'!M237&gt;0))=""),"",OR(IF(ISERROR('Model inputs'!L231&gt;0),'Model inputs'!L231&gt;0,IF('Model inputs'!L231="","",'Model inputs'!L231&gt;0)),IF(ISERROR('Model inputs'!M237&gt;0),'Model inputs'!M237&gt;0,IF('Model inputs'!M237="","",'Model inputs'!M237&gt;0))))))="",FALSE(),IF(IFERROR(IF(ISERROR('Model inputs'!L231&gt;0),'Model inputs'!L231&gt;0,IF('Model inputs'!L231="","",'Model inputs'!L231&gt;0))=TRUE(),FALSE()),TRUE(),IF(IFERROR(IF(ISERROR('Model inputs'!M237&gt;0),'Model inputs'!M237&gt;0,IF('Model inputs'!M237="","",'Model inputs'!M237&gt;0))=TRUE(),FALSE()),TRUE(),IF(OR(IF(ISERROR('Model inputs'!L231&gt;0),'Model inputs'!L231&gt;0,IF('Model inputs'!L231="","",'Model inputs'!L231&gt;0))="",IF(ISERROR('Model inputs'!M237&gt;0),'Model inputs'!M237&gt;0,IF('Model inputs'!M237="","",'Model inputs'!M237&gt;0))=""),"",OR(IF(ISERROR('Model inputs'!L231&gt;0),'Model inputs'!L231&gt;0,IF('Model inputs'!L231="","",'Model inputs'!L231&gt;0)),IF(ISERROR('Model inputs'!M237&gt;0),'Model inputs'!M237&gt;0,IF('Model inputs'!M237="","",'Model inputs'!M237&gt;0))))))),1,0)</f>
        <v>0</v>
      </c>
      <c r="N231" s="22" t="n">
        <f aca="false">IF(IF(IF(IFERROR(IF(ISERROR('Model inputs'!M231&gt;0),'Model inputs'!M231&gt;0,IF('Model inputs'!M231="","",'Model inputs'!M231&gt;0))=TRUE(),FALSE()),TRUE(),IF(IFERROR(IF(ISERROR('Model inputs'!N237&gt;0),'Model inputs'!N237&gt;0,IF('Model inputs'!N237="","",'Model inputs'!N237&gt;0))=TRUE(),FALSE()),TRUE(),IF(OR(IF(ISERROR('Model inputs'!M231&gt;0),'Model inputs'!M231&gt;0,IF('Model inputs'!M231="","",'Model inputs'!M231&gt;0))="",IF(ISERROR('Model inputs'!N237&gt;0),'Model inputs'!N237&gt;0,IF('Model inputs'!N237="","",'Model inputs'!N237&gt;0))=""),"",OR(IF(ISERROR('Model inputs'!M231&gt;0),'Model inputs'!M231&gt;0,IF('Model inputs'!M231="","",'Model inputs'!M231&gt;0)),IF(ISERROR('Model inputs'!N237&gt;0),'Model inputs'!N237&gt;0,IF('Model inputs'!N237="","",'Model inputs'!N237&gt;0))))))="",FALSE(),IF(IFERROR(IF(ISERROR('Model inputs'!M231&gt;0),'Model inputs'!M231&gt;0,IF('Model inputs'!M231="","",'Model inputs'!M231&gt;0))=TRUE(),FALSE()),TRUE(),IF(IFERROR(IF(ISERROR('Model inputs'!N237&gt;0),'Model inputs'!N237&gt;0,IF('Model inputs'!N237="","",'Model inputs'!N237&gt;0))=TRUE(),FALSE()),TRUE(),IF(OR(IF(ISERROR('Model inputs'!M231&gt;0),'Model inputs'!M231&gt;0,IF('Model inputs'!M231="","",'Model inputs'!M231&gt;0))="",IF(ISERROR('Model inputs'!N237&gt;0),'Model inputs'!N237&gt;0,IF('Model inputs'!N237="","",'Model inputs'!N237&gt;0))=""),"",OR(IF(ISERROR('Model inputs'!M231&gt;0),'Model inputs'!M231&gt;0,IF('Model inputs'!M231="","",'Model inputs'!M231&gt;0)),IF(ISERROR('Model inputs'!N237&gt;0),'Model inputs'!N237&gt;0,IF('Model inputs'!N237="","",'Model inputs'!N237&gt;0))))))),1,0)</f>
        <v>0</v>
      </c>
      <c r="O231" s="22" t="n">
        <f aca="false">IF(IF(IF(IFERROR(IF(ISERROR('Model inputs'!N231&gt;0),'Model inputs'!N231&gt;0,IF('Model inputs'!N231="","",'Model inputs'!N231&gt;0))=TRUE(),FALSE()),TRUE(),IF(IFERROR(IF(ISERROR('Model inputs'!O237&gt;0),'Model inputs'!O237&gt;0,IF('Model inputs'!O237="","",'Model inputs'!O237&gt;0))=TRUE(),FALSE()),TRUE(),IF(OR(IF(ISERROR('Model inputs'!N231&gt;0),'Model inputs'!N231&gt;0,IF('Model inputs'!N231="","",'Model inputs'!N231&gt;0))="",IF(ISERROR('Model inputs'!O237&gt;0),'Model inputs'!O237&gt;0,IF('Model inputs'!O237="","",'Model inputs'!O237&gt;0))=""),"",OR(IF(ISERROR('Model inputs'!N231&gt;0),'Model inputs'!N231&gt;0,IF('Model inputs'!N231="","",'Model inputs'!N231&gt;0)),IF(ISERROR('Model inputs'!O237&gt;0),'Model inputs'!O237&gt;0,IF('Model inputs'!O237="","",'Model inputs'!O237&gt;0))))))="",FALSE(),IF(IFERROR(IF(ISERROR('Model inputs'!N231&gt;0),'Model inputs'!N231&gt;0,IF('Model inputs'!N231="","",'Model inputs'!N231&gt;0))=TRUE(),FALSE()),TRUE(),IF(IFERROR(IF(ISERROR('Model inputs'!O237&gt;0),'Model inputs'!O237&gt;0,IF('Model inputs'!O237="","",'Model inputs'!O237&gt;0))=TRUE(),FALSE()),TRUE(),IF(OR(IF(ISERROR('Model inputs'!N231&gt;0),'Model inputs'!N231&gt;0,IF('Model inputs'!N231="","",'Model inputs'!N231&gt;0))="",IF(ISERROR('Model inputs'!O237&gt;0),'Model inputs'!O237&gt;0,IF('Model inputs'!O237="","",'Model inputs'!O237&gt;0))=""),"",OR(IF(ISERROR('Model inputs'!N231&gt;0),'Model inputs'!N231&gt;0,IF('Model inputs'!N231="","",'Model inputs'!N231&gt;0)),IF(ISERROR('Model inputs'!O237&gt;0),'Model inputs'!O237&gt;0,IF('Model inputs'!O237="","",'Model inputs'!O237&gt;0))))))),1,0)</f>
        <v>0</v>
      </c>
      <c r="P231" s="22" t="n">
        <f aca="false">IF(IF(IF(IFERROR(IF(ISERROR('Model inputs'!O231&gt;0),'Model inputs'!O231&gt;0,IF('Model inputs'!O231="","",'Model inputs'!O231&gt;0))=TRUE(),FALSE()),TRUE(),IF(IFERROR(IF(ISERROR('Model inputs'!P237&gt;0),'Model inputs'!P237&gt;0,IF('Model inputs'!P237="","",'Model inputs'!P237&gt;0))=TRUE(),FALSE()),TRUE(),IF(OR(IF(ISERROR('Model inputs'!O231&gt;0),'Model inputs'!O231&gt;0,IF('Model inputs'!O231="","",'Model inputs'!O231&gt;0))="",IF(ISERROR('Model inputs'!P237&gt;0),'Model inputs'!P237&gt;0,IF('Model inputs'!P237="","",'Model inputs'!P237&gt;0))=""),"",OR(IF(ISERROR('Model inputs'!O231&gt;0),'Model inputs'!O231&gt;0,IF('Model inputs'!O231="","",'Model inputs'!O231&gt;0)),IF(ISERROR('Model inputs'!P237&gt;0),'Model inputs'!P237&gt;0,IF('Model inputs'!P237="","",'Model inputs'!P237&gt;0))))))="",FALSE(),IF(IFERROR(IF(ISERROR('Model inputs'!O231&gt;0),'Model inputs'!O231&gt;0,IF('Model inputs'!O231="","",'Model inputs'!O231&gt;0))=TRUE(),FALSE()),TRUE(),IF(IFERROR(IF(ISERROR('Model inputs'!P237&gt;0),'Model inputs'!P237&gt;0,IF('Model inputs'!P237="","",'Model inputs'!P237&gt;0))=TRUE(),FALSE()),TRUE(),IF(OR(IF(ISERROR('Model inputs'!O231&gt;0),'Model inputs'!O231&gt;0,IF('Model inputs'!O231="","",'Model inputs'!O231&gt;0))="",IF(ISERROR('Model inputs'!P237&gt;0),'Model inputs'!P237&gt;0,IF('Model inputs'!P237="","",'Model inputs'!P237&gt;0))=""),"",OR(IF(ISERROR('Model inputs'!O231&gt;0),'Model inputs'!O231&gt;0,IF('Model inputs'!O231="","",'Model inputs'!O231&gt;0)),IF(ISERROR('Model inputs'!P237&gt;0),'Model inputs'!P237&gt;0,IF('Model inputs'!P237="","",'Model inputs'!P237&gt;0))))))),1,0)</f>
        <v>0</v>
      </c>
      <c r="Q231" s="22" t="n">
        <f aca="false">IF(IF(IF(IFERROR(IF(ISERROR('Model inputs'!P231&gt;0),'Model inputs'!P231&gt;0,IF('Model inputs'!P231="","",'Model inputs'!P231&gt;0))=TRUE(),FALSE()),TRUE(),IF(IFERROR(IF(ISERROR('Model inputs'!Q237&gt;0),'Model inputs'!Q237&gt;0,IF('Model inputs'!Q237="","",'Model inputs'!Q237&gt;0))=TRUE(),FALSE()),TRUE(),IF(OR(IF(ISERROR('Model inputs'!P231&gt;0),'Model inputs'!P231&gt;0,IF('Model inputs'!P231="","",'Model inputs'!P231&gt;0))="",IF(ISERROR('Model inputs'!Q237&gt;0),'Model inputs'!Q237&gt;0,IF('Model inputs'!Q237="","",'Model inputs'!Q237&gt;0))=""),"",OR(IF(ISERROR('Model inputs'!P231&gt;0),'Model inputs'!P231&gt;0,IF('Model inputs'!P231="","",'Model inputs'!P231&gt;0)),IF(ISERROR('Model inputs'!Q237&gt;0),'Model inputs'!Q237&gt;0,IF('Model inputs'!Q237="","",'Model inputs'!Q237&gt;0))))))="",FALSE(),IF(IFERROR(IF(ISERROR('Model inputs'!P231&gt;0),'Model inputs'!P231&gt;0,IF('Model inputs'!P231="","",'Model inputs'!P231&gt;0))=TRUE(),FALSE()),TRUE(),IF(IFERROR(IF(ISERROR('Model inputs'!Q237&gt;0),'Model inputs'!Q237&gt;0,IF('Model inputs'!Q237="","",'Model inputs'!Q237&gt;0))=TRUE(),FALSE()),TRUE(),IF(OR(IF(ISERROR('Model inputs'!P231&gt;0),'Model inputs'!P231&gt;0,IF('Model inputs'!P231="","",'Model inputs'!P231&gt;0))="",IF(ISERROR('Model inputs'!Q237&gt;0),'Model inputs'!Q237&gt;0,IF('Model inputs'!Q237="","",'Model inputs'!Q237&gt;0))=""),"",OR(IF(ISERROR('Model inputs'!P231&gt;0),'Model inputs'!P231&gt;0,IF('Model inputs'!P231="","",'Model inputs'!P231&gt;0)),IF(ISERROR('Model inputs'!Q237&gt;0),'Model inputs'!Q237&gt;0,IF('Model inputs'!Q237="","",'Model inputs'!Q237&gt;0))))))),1,0)</f>
        <v>0</v>
      </c>
      <c r="R231" s="22" t="n">
        <f aca="false">IF(IF(IF(IFERROR(IF(ISERROR('Model inputs'!Q231&gt;0),'Model inputs'!Q231&gt;0,IF('Model inputs'!Q231="","",'Model inputs'!Q231&gt;0))=TRUE(),FALSE()),TRUE(),IF(IFERROR(IF(ISERROR('Model inputs'!R237&gt;0),'Model inputs'!R237&gt;0,IF('Model inputs'!R237="","",'Model inputs'!R237&gt;0))=TRUE(),FALSE()),TRUE(),IF(OR(IF(ISERROR('Model inputs'!Q231&gt;0),'Model inputs'!Q231&gt;0,IF('Model inputs'!Q231="","",'Model inputs'!Q231&gt;0))="",IF(ISERROR('Model inputs'!R237&gt;0),'Model inputs'!R237&gt;0,IF('Model inputs'!R237="","",'Model inputs'!R237&gt;0))=""),"",OR(IF(ISERROR('Model inputs'!Q231&gt;0),'Model inputs'!Q231&gt;0,IF('Model inputs'!Q231="","",'Model inputs'!Q231&gt;0)),IF(ISERROR('Model inputs'!R237&gt;0),'Model inputs'!R237&gt;0,IF('Model inputs'!R237="","",'Model inputs'!R237&gt;0))))))="",FALSE(),IF(IFERROR(IF(ISERROR('Model inputs'!Q231&gt;0),'Model inputs'!Q231&gt;0,IF('Model inputs'!Q231="","",'Model inputs'!Q231&gt;0))=TRUE(),FALSE()),TRUE(),IF(IFERROR(IF(ISERROR('Model inputs'!R237&gt;0),'Model inputs'!R237&gt;0,IF('Model inputs'!R237="","",'Model inputs'!R237&gt;0))=TRUE(),FALSE()),TRUE(),IF(OR(IF(ISERROR('Model inputs'!Q231&gt;0),'Model inputs'!Q231&gt;0,IF('Model inputs'!Q231="","",'Model inputs'!Q231&gt;0))="",IF(ISERROR('Model inputs'!R237&gt;0),'Model inputs'!R237&gt;0,IF('Model inputs'!R237="","",'Model inputs'!R237&gt;0))=""),"",OR(IF(ISERROR('Model inputs'!Q231&gt;0),'Model inputs'!Q231&gt;0,IF('Model inputs'!Q231="","",'Model inputs'!Q231&gt;0)),IF(ISERROR('Model inputs'!R237&gt;0),'Model inputs'!R237&gt;0,IF('Model inputs'!R237="","",'Model inputs'!R237&gt;0))))))),1,0)</f>
        <v>0</v>
      </c>
      <c r="S231" s="22" t="n">
        <f aca="false">IF(IF(IF(IFERROR(IF(ISERROR('Model inputs'!R231&gt;0),'Model inputs'!R231&gt;0,IF('Model inputs'!R231="","",'Model inputs'!R231&gt;0))=TRUE(),FALSE()),TRUE(),IF(IFERROR(IF(ISERROR('Model inputs'!S237&gt;0),'Model inputs'!S237&gt;0,IF('Model inputs'!S237="","",'Model inputs'!S237&gt;0))=TRUE(),FALSE()),TRUE(),IF(OR(IF(ISERROR('Model inputs'!R231&gt;0),'Model inputs'!R231&gt;0,IF('Model inputs'!R231="","",'Model inputs'!R231&gt;0))="",IF(ISERROR('Model inputs'!S237&gt;0),'Model inputs'!S237&gt;0,IF('Model inputs'!S237="","",'Model inputs'!S237&gt;0))=""),"",OR(IF(ISERROR('Model inputs'!R231&gt;0),'Model inputs'!R231&gt;0,IF('Model inputs'!R231="","",'Model inputs'!R231&gt;0)),IF(ISERROR('Model inputs'!S237&gt;0),'Model inputs'!S237&gt;0,IF('Model inputs'!S237="","",'Model inputs'!S237&gt;0))))))="",FALSE(),IF(IFERROR(IF(ISERROR('Model inputs'!R231&gt;0),'Model inputs'!R231&gt;0,IF('Model inputs'!R231="","",'Model inputs'!R231&gt;0))=TRUE(),FALSE()),TRUE(),IF(IFERROR(IF(ISERROR('Model inputs'!S237&gt;0),'Model inputs'!S237&gt;0,IF('Model inputs'!S237="","",'Model inputs'!S237&gt;0))=TRUE(),FALSE()),TRUE(),IF(OR(IF(ISERROR('Model inputs'!R231&gt;0),'Model inputs'!R231&gt;0,IF('Model inputs'!R231="","",'Model inputs'!R231&gt;0))="",IF(ISERROR('Model inputs'!S237&gt;0),'Model inputs'!S237&gt;0,IF('Model inputs'!S237="","",'Model inputs'!S237&gt;0))=""),"",OR(IF(ISERROR('Model inputs'!R231&gt;0),'Model inputs'!R231&gt;0,IF('Model inputs'!R231="","",'Model inputs'!R231&gt;0)),IF(ISERROR('Model inputs'!S237&gt;0),'Model inputs'!S237&gt;0,IF('Model inputs'!S237="","",'Model inputs'!S237&gt;0))))))),1,0)</f>
        <v>0</v>
      </c>
      <c r="T231" s="22" t="n">
        <f aca="false">IF(IF(IF(IFERROR(IF(ISERROR('Model inputs'!S231&gt;0),'Model inputs'!S231&gt;0,IF('Model inputs'!S231="","",'Model inputs'!S231&gt;0))=TRUE(),FALSE()),TRUE(),IF(IFERROR(IF(ISERROR('Model inputs'!T237&gt;0),'Model inputs'!T237&gt;0,IF('Model inputs'!T237="","",'Model inputs'!T237&gt;0))=TRUE(),FALSE()),TRUE(),IF(OR(IF(ISERROR('Model inputs'!S231&gt;0),'Model inputs'!S231&gt;0,IF('Model inputs'!S231="","",'Model inputs'!S231&gt;0))="",IF(ISERROR('Model inputs'!T237&gt;0),'Model inputs'!T237&gt;0,IF('Model inputs'!T237="","",'Model inputs'!T237&gt;0))=""),"",OR(IF(ISERROR('Model inputs'!S231&gt;0),'Model inputs'!S231&gt;0,IF('Model inputs'!S231="","",'Model inputs'!S231&gt;0)),IF(ISERROR('Model inputs'!T237&gt;0),'Model inputs'!T237&gt;0,IF('Model inputs'!T237="","",'Model inputs'!T237&gt;0))))))="",FALSE(),IF(IFERROR(IF(ISERROR('Model inputs'!S231&gt;0),'Model inputs'!S231&gt;0,IF('Model inputs'!S231="","",'Model inputs'!S231&gt;0))=TRUE(),FALSE()),TRUE(),IF(IFERROR(IF(ISERROR('Model inputs'!T237&gt;0),'Model inputs'!T237&gt;0,IF('Model inputs'!T237="","",'Model inputs'!T237&gt;0))=TRUE(),FALSE()),TRUE(),IF(OR(IF(ISERROR('Model inputs'!S231&gt;0),'Model inputs'!S231&gt;0,IF('Model inputs'!S231="","",'Model inputs'!S231&gt;0))="",IF(ISERROR('Model inputs'!T237&gt;0),'Model inputs'!T237&gt;0,IF('Model inputs'!T237="","",'Model inputs'!T237&gt;0))=""),"",OR(IF(ISERROR('Model inputs'!S231&gt;0),'Model inputs'!S231&gt;0,IF('Model inputs'!S231="","",'Model inputs'!S231&gt;0)),IF(ISERROR('Model inputs'!T237&gt;0),'Model inputs'!T237&gt;0,IF('Model inputs'!T237="","",'Model inputs'!T237&gt;0))))))),1,0)</f>
        <v>0</v>
      </c>
      <c r="U231" s="22" t="n">
        <f aca="false">IF(IF(IF(IFERROR(IF(ISERROR('Model inputs'!T231&gt;0),'Model inputs'!T231&gt;0,IF('Model inputs'!T231="","",'Model inputs'!T231&gt;0))=TRUE(),FALSE()),TRUE(),IF(IFERROR(IF(ISERROR('Model inputs'!U237&gt;0),'Model inputs'!U237&gt;0,IF('Model inputs'!U237="","",'Model inputs'!U237&gt;0))=TRUE(),FALSE()),TRUE(),IF(OR(IF(ISERROR('Model inputs'!T231&gt;0),'Model inputs'!T231&gt;0,IF('Model inputs'!T231="","",'Model inputs'!T231&gt;0))="",IF(ISERROR('Model inputs'!U237&gt;0),'Model inputs'!U237&gt;0,IF('Model inputs'!U237="","",'Model inputs'!U237&gt;0))=""),"",OR(IF(ISERROR('Model inputs'!T231&gt;0),'Model inputs'!T231&gt;0,IF('Model inputs'!T231="","",'Model inputs'!T231&gt;0)),IF(ISERROR('Model inputs'!U237&gt;0),'Model inputs'!U237&gt;0,IF('Model inputs'!U237="","",'Model inputs'!U237&gt;0))))))="",FALSE(),IF(IFERROR(IF(ISERROR('Model inputs'!T231&gt;0),'Model inputs'!T231&gt;0,IF('Model inputs'!T231="","",'Model inputs'!T231&gt;0))=TRUE(),FALSE()),TRUE(),IF(IFERROR(IF(ISERROR('Model inputs'!U237&gt;0),'Model inputs'!U237&gt;0,IF('Model inputs'!U237="","",'Model inputs'!U237&gt;0))=TRUE(),FALSE()),TRUE(),IF(OR(IF(ISERROR('Model inputs'!T231&gt;0),'Model inputs'!T231&gt;0,IF('Model inputs'!T231="","",'Model inputs'!T231&gt;0))="",IF(ISERROR('Model inputs'!U237&gt;0),'Model inputs'!U237&gt;0,IF('Model inputs'!U237="","",'Model inputs'!U237&gt;0))=""),"",OR(IF(ISERROR('Model inputs'!T231&gt;0),'Model inputs'!T231&gt;0,IF('Model inputs'!T231="","",'Model inputs'!T231&gt;0)),IF(ISERROR('Model inputs'!U237&gt;0),'Model inputs'!U237&gt;0,IF('Model inputs'!U237="","",'Model inputs'!U237&gt;0))))))),1,0)</f>
        <v>0</v>
      </c>
      <c r="V231" s="22" t="n">
        <f aca="false">IF(IF(IF(IFERROR(IF(ISERROR('Model inputs'!U231&gt;0),'Model inputs'!U231&gt;0,IF('Model inputs'!U231="","",'Model inputs'!U231&gt;0))=TRUE(),FALSE()),TRUE(),IF(IFERROR(IF(ISERROR('Model inputs'!V237&gt;0),'Model inputs'!V237&gt;0,IF('Model inputs'!V237="","",'Model inputs'!V237&gt;0))=TRUE(),FALSE()),TRUE(),IF(OR(IF(ISERROR('Model inputs'!U231&gt;0),'Model inputs'!U231&gt;0,IF('Model inputs'!U231="","",'Model inputs'!U231&gt;0))="",IF(ISERROR('Model inputs'!V237&gt;0),'Model inputs'!V237&gt;0,IF('Model inputs'!V237="","",'Model inputs'!V237&gt;0))=""),"",OR(IF(ISERROR('Model inputs'!U231&gt;0),'Model inputs'!U231&gt;0,IF('Model inputs'!U231="","",'Model inputs'!U231&gt;0)),IF(ISERROR('Model inputs'!V237&gt;0),'Model inputs'!V237&gt;0,IF('Model inputs'!V237="","",'Model inputs'!V237&gt;0))))))="",FALSE(),IF(IFERROR(IF(ISERROR('Model inputs'!U231&gt;0),'Model inputs'!U231&gt;0,IF('Model inputs'!U231="","",'Model inputs'!U231&gt;0))=TRUE(),FALSE()),TRUE(),IF(IFERROR(IF(ISERROR('Model inputs'!V237&gt;0),'Model inputs'!V237&gt;0,IF('Model inputs'!V237="","",'Model inputs'!V237&gt;0))=TRUE(),FALSE()),TRUE(),IF(OR(IF(ISERROR('Model inputs'!U231&gt;0),'Model inputs'!U231&gt;0,IF('Model inputs'!U231="","",'Model inputs'!U231&gt;0))="",IF(ISERROR('Model inputs'!V237&gt;0),'Model inputs'!V237&gt;0,IF('Model inputs'!V237="","",'Model inputs'!V237&gt;0))=""),"",OR(IF(ISERROR('Model inputs'!U231&gt;0),'Model inputs'!U231&gt;0,IF('Model inputs'!U231="","",'Model inputs'!U231&gt;0)),IF(ISERROR('Model inputs'!V237&gt;0),'Model inputs'!V237&gt;0,IF('Model inputs'!V237="","",'Model inputs'!V237&gt;0))))))),1,0)</f>
        <v>0</v>
      </c>
      <c r="W231" s="22" t="n">
        <f aca="false">IF(IF(IF(IFERROR(IF(ISERROR('Model inputs'!V231&gt;0),'Model inputs'!V231&gt;0,IF('Model inputs'!V231="","",'Model inputs'!V231&gt;0))=TRUE(),FALSE()),TRUE(),IF(IFERROR(IF(ISERROR('Model inputs'!W237&gt;0),'Model inputs'!W237&gt;0,IF('Model inputs'!W237="","",'Model inputs'!W237&gt;0))=TRUE(),FALSE()),TRUE(),IF(OR(IF(ISERROR('Model inputs'!V231&gt;0),'Model inputs'!V231&gt;0,IF('Model inputs'!V231="","",'Model inputs'!V231&gt;0))="",IF(ISERROR('Model inputs'!W237&gt;0),'Model inputs'!W237&gt;0,IF('Model inputs'!W237="","",'Model inputs'!W237&gt;0))=""),"",OR(IF(ISERROR('Model inputs'!V231&gt;0),'Model inputs'!V231&gt;0,IF('Model inputs'!V231="","",'Model inputs'!V231&gt;0)),IF(ISERROR('Model inputs'!W237&gt;0),'Model inputs'!W237&gt;0,IF('Model inputs'!W237="","",'Model inputs'!W237&gt;0))))))="",FALSE(),IF(IFERROR(IF(ISERROR('Model inputs'!V231&gt;0),'Model inputs'!V231&gt;0,IF('Model inputs'!V231="","",'Model inputs'!V231&gt;0))=TRUE(),FALSE()),TRUE(),IF(IFERROR(IF(ISERROR('Model inputs'!W237&gt;0),'Model inputs'!W237&gt;0,IF('Model inputs'!W237="","",'Model inputs'!W237&gt;0))=TRUE(),FALSE()),TRUE(),IF(OR(IF(ISERROR('Model inputs'!V231&gt;0),'Model inputs'!V231&gt;0,IF('Model inputs'!V231="","",'Model inputs'!V231&gt;0))="",IF(ISERROR('Model inputs'!W237&gt;0),'Model inputs'!W237&gt;0,IF('Model inputs'!W237="","",'Model inputs'!W237&gt;0))=""),"",OR(IF(ISERROR('Model inputs'!V231&gt;0),'Model inputs'!V231&gt;0,IF('Model inputs'!V231="","",'Model inputs'!V231&gt;0)),IF(ISERROR('Model inputs'!W237&gt;0),'Model inputs'!W237&gt;0,IF('Model inputs'!W237="","",'Model inputs'!W237&gt;0))))))),1,0)</f>
        <v>0</v>
      </c>
      <c r="X231" s="22" t="n">
        <f aca="false">IF(IF(IF(IFERROR(IF(ISERROR('Model inputs'!W231&gt;0),'Model inputs'!W231&gt;0,IF('Model inputs'!W231="","",'Model inputs'!W231&gt;0))=TRUE(),FALSE()),TRUE(),IF(IFERROR(IF(ISERROR('Model inputs'!X237&gt;0),'Model inputs'!X237&gt;0,IF('Model inputs'!X237="","",'Model inputs'!X237&gt;0))=TRUE(),FALSE()),TRUE(),IF(OR(IF(ISERROR('Model inputs'!W231&gt;0),'Model inputs'!W231&gt;0,IF('Model inputs'!W231="","",'Model inputs'!W231&gt;0))="",IF(ISERROR('Model inputs'!X237&gt;0),'Model inputs'!X237&gt;0,IF('Model inputs'!X237="","",'Model inputs'!X237&gt;0))=""),"",OR(IF(ISERROR('Model inputs'!W231&gt;0),'Model inputs'!W231&gt;0,IF('Model inputs'!W231="","",'Model inputs'!W231&gt;0)),IF(ISERROR('Model inputs'!X237&gt;0),'Model inputs'!X237&gt;0,IF('Model inputs'!X237="","",'Model inputs'!X237&gt;0))))))="",FALSE(),IF(IFERROR(IF(ISERROR('Model inputs'!W231&gt;0),'Model inputs'!W231&gt;0,IF('Model inputs'!W231="","",'Model inputs'!W231&gt;0))=TRUE(),FALSE()),TRUE(),IF(IFERROR(IF(ISERROR('Model inputs'!X237&gt;0),'Model inputs'!X237&gt;0,IF('Model inputs'!X237="","",'Model inputs'!X237&gt;0))=TRUE(),FALSE()),TRUE(),IF(OR(IF(ISERROR('Model inputs'!W231&gt;0),'Model inputs'!W231&gt;0,IF('Model inputs'!W231="","",'Model inputs'!W231&gt;0))="",IF(ISERROR('Model inputs'!X237&gt;0),'Model inputs'!X237&gt;0,IF('Model inputs'!X237="","",'Model inputs'!X237&gt;0))=""),"",OR(IF(ISERROR('Model inputs'!W231&gt;0),'Model inputs'!W231&gt;0,IF('Model inputs'!W231="","",'Model inputs'!W231&gt;0)),IF(ISERROR('Model inputs'!X237&gt;0),'Model inputs'!X237&gt;0,IF('Model inputs'!X237="","",'Model inputs'!X237&gt;0))))))),1,0)</f>
        <v>0</v>
      </c>
      <c r="Y231" s="22" t="n">
        <f aca="false">IF(IF(IF(IFERROR(IF(ISERROR('Model inputs'!X231&gt;0),'Model inputs'!X231&gt;0,IF('Model inputs'!X231="","",'Model inputs'!X231&gt;0))=TRUE(),FALSE()),TRUE(),IF(IFERROR(IF(ISERROR('Model inputs'!Y237&gt;0),'Model inputs'!Y237&gt;0,IF('Model inputs'!Y237="","",'Model inputs'!Y237&gt;0))=TRUE(),FALSE()),TRUE(),IF(OR(IF(ISERROR('Model inputs'!X231&gt;0),'Model inputs'!X231&gt;0,IF('Model inputs'!X231="","",'Model inputs'!X231&gt;0))="",IF(ISERROR('Model inputs'!Y237&gt;0),'Model inputs'!Y237&gt;0,IF('Model inputs'!Y237="","",'Model inputs'!Y237&gt;0))=""),"",OR(IF(ISERROR('Model inputs'!X231&gt;0),'Model inputs'!X231&gt;0,IF('Model inputs'!X231="","",'Model inputs'!X231&gt;0)),IF(ISERROR('Model inputs'!Y237&gt;0),'Model inputs'!Y237&gt;0,IF('Model inputs'!Y237="","",'Model inputs'!Y237&gt;0))))))="",FALSE(),IF(IFERROR(IF(ISERROR('Model inputs'!X231&gt;0),'Model inputs'!X231&gt;0,IF('Model inputs'!X231="","",'Model inputs'!X231&gt;0))=TRUE(),FALSE()),TRUE(),IF(IFERROR(IF(ISERROR('Model inputs'!Y237&gt;0),'Model inputs'!Y237&gt;0,IF('Model inputs'!Y237="","",'Model inputs'!Y237&gt;0))=TRUE(),FALSE()),TRUE(),IF(OR(IF(ISERROR('Model inputs'!X231&gt;0),'Model inputs'!X231&gt;0,IF('Model inputs'!X231="","",'Model inputs'!X231&gt;0))="",IF(ISERROR('Model inputs'!Y237&gt;0),'Model inputs'!Y237&gt;0,IF('Model inputs'!Y237="","",'Model inputs'!Y237&gt;0))=""),"",OR(IF(ISERROR('Model inputs'!X231&gt;0),'Model inputs'!X231&gt;0,IF('Model inputs'!X231="","",'Model inputs'!X231&gt;0)),IF(ISERROR('Model inputs'!Y237&gt;0),'Model inputs'!Y237&gt;0,IF('Model inputs'!Y237="","",'Model inputs'!Y237&gt;0))))))),1,0)</f>
        <v>0</v>
      </c>
    </row>
    <row r="232" customFormat="false" ht="18" hidden="false" customHeight="false" outlineLevel="0" collapsed="false">
      <c r="A232" s="27" t="s">
        <v>424</v>
      </c>
      <c r="B232" s="22" t="n">
        <v>0</v>
      </c>
      <c r="C232" s="22" t="n">
        <v>0</v>
      </c>
      <c r="D232" s="22" t="n">
        <v>0</v>
      </c>
      <c r="E232" s="22" t="n">
        <v>0</v>
      </c>
      <c r="F232" s="22" t="n">
        <v>0</v>
      </c>
      <c r="G232" s="22" t="n">
        <v>0</v>
      </c>
      <c r="H232" s="22" t="n">
        <v>0</v>
      </c>
      <c r="I232" s="22" t="n">
        <v>0</v>
      </c>
      <c r="J232" s="22" t="n">
        <v>0</v>
      </c>
      <c r="K232" s="22" t="n">
        <f aca="false">IF(IF(IF(IFERROR(IF(ISERROR('Model inputs'!J232&gt;0),'Model inputs'!J232&gt;0,IF('Model inputs'!J232="","",'Model inputs'!J232&gt;0))=TRUE(),FALSE()),TRUE(),IF(IFERROR(IF(ISERROR('Model inputs'!K238&gt;0),'Model inputs'!K238&gt;0,IF('Model inputs'!K238="","",'Model inputs'!K238&gt;0))=TRUE(),FALSE()),TRUE(),IF(OR(IF(ISERROR('Model inputs'!J232&gt;0),'Model inputs'!J232&gt;0,IF('Model inputs'!J232="","",'Model inputs'!J232&gt;0))="",IF(ISERROR('Model inputs'!K238&gt;0),'Model inputs'!K238&gt;0,IF('Model inputs'!K238="","",'Model inputs'!K238&gt;0))=""),"",OR(IF(ISERROR('Model inputs'!J232&gt;0),'Model inputs'!J232&gt;0,IF('Model inputs'!J232="","",'Model inputs'!J232&gt;0)),IF(ISERROR('Model inputs'!K238&gt;0),'Model inputs'!K238&gt;0,IF('Model inputs'!K238="","",'Model inputs'!K238&gt;0))))))="",FALSE(),IF(IFERROR(IF(ISERROR('Model inputs'!J232&gt;0),'Model inputs'!J232&gt;0,IF('Model inputs'!J232="","",'Model inputs'!J232&gt;0))=TRUE(),FALSE()),TRUE(),IF(IFERROR(IF(ISERROR('Model inputs'!K238&gt;0),'Model inputs'!K238&gt;0,IF('Model inputs'!K238="","",'Model inputs'!K238&gt;0))=TRUE(),FALSE()),TRUE(),IF(OR(IF(ISERROR('Model inputs'!J232&gt;0),'Model inputs'!J232&gt;0,IF('Model inputs'!J232="","",'Model inputs'!J232&gt;0))="",IF(ISERROR('Model inputs'!K238&gt;0),'Model inputs'!K238&gt;0,IF('Model inputs'!K238="","",'Model inputs'!K238&gt;0))=""),"",OR(IF(ISERROR('Model inputs'!J232&gt;0),'Model inputs'!J232&gt;0,IF('Model inputs'!J232="","",'Model inputs'!J232&gt;0)),IF(ISERROR('Model inputs'!K238&gt;0),'Model inputs'!K238&gt;0,IF('Model inputs'!K238="","",'Model inputs'!K238&gt;0))))))),1,0)</f>
        <v>1</v>
      </c>
      <c r="L232" s="22" t="n">
        <f aca="false">IF(IF(IF(IFERROR(IF(ISERROR('Model inputs'!K232&gt;0),'Model inputs'!K232&gt;0,IF('Model inputs'!K232="","",'Model inputs'!K232&gt;0))=TRUE(),FALSE()),TRUE(),IF(IFERROR(IF(ISERROR('Model inputs'!L238&gt;0),'Model inputs'!L238&gt;0,IF('Model inputs'!L238="","",'Model inputs'!L238&gt;0))=TRUE(),FALSE()),TRUE(),IF(OR(IF(ISERROR('Model inputs'!K232&gt;0),'Model inputs'!K232&gt;0,IF('Model inputs'!K232="","",'Model inputs'!K232&gt;0))="",IF(ISERROR('Model inputs'!L238&gt;0),'Model inputs'!L238&gt;0,IF('Model inputs'!L238="","",'Model inputs'!L238&gt;0))=""),"",OR(IF(ISERROR('Model inputs'!K232&gt;0),'Model inputs'!K232&gt;0,IF('Model inputs'!K232="","",'Model inputs'!K232&gt;0)),IF(ISERROR('Model inputs'!L238&gt;0),'Model inputs'!L238&gt;0,IF('Model inputs'!L238="","",'Model inputs'!L238&gt;0))))))="",FALSE(),IF(IFERROR(IF(ISERROR('Model inputs'!K232&gt;0),'Model inputs'!K232&gt;0,IF('Model inputs'!K232="","",'Model inputs'!K232&gt;0))=TRUE(),FALSE()),TRUE(),IF(IFERROR(IF(ISERROR('Model inputs'!L238&gt;0),'Model inputs'!L238&gt;0,IF('Model inputs'!L238="","",'Model inputs'!L238&gt;0))=TRUE(),FALSE()),TRUE(),IF(OR(IF(ISERROR('Model inputs'!K232&gt;0),'Model inputs'!K232&gt;0,IF('Model inputs'!K232="","",'Model inputs'!K232&gt;0))="",IF(ISERROR('Model inputs'!L238&gt;0),'Model inputs'!L238&gt;0,IF('Model inputs'!L238="","",'Model inputs'!L238&gt;0))=""),"",OR(IF(ISERROR('Model inputs'!K232&gt;0),'Model inputs'!K232&gt;0,IF('Model inputs'!K232="","",'Model inputs'!K232&gt;0)),IF(ISERROR('Model inputs'!L238&gt;0),'Model inputs'!L238&gt;0,IF('Model inputs'!L238="","",'Model inputs'!L238&gt;0))))))),1,0)</f>
        <v>1</v>
      </c>
      <c r="M232" s="22" t="n">
        <f aca="false">IF(IF(IF(IFERROR(IF(ISERROR('Model inputs'!L232&gt;0),'Model inputs'!L232&gt;0,IF('Model inputs'!L232="","",'Model inputs'!L232&gt;0))=TRUE(),FALSE()),TRUE(),IF(IFERROR(IF(ISERROR('Model inputs'!M238&gt;0),'Model inputs'!M238&gt;0,IF('Model inputs'!M238="","",'Model inputs'!M238&gt;0))=TRUE(),FALSE()),TRUE(),IF(OR(IF(ISERROR('Model inputs'!L232&gt;0),'Model inputs'!L232&gt;0,IF('Model inputs'!L232="","",'Model inputs'!L232&gt;0))="",IF(ISERROR('Model inputs'!M238&gt;0),'Model inputs'!M238&gt;0,IF('Model inputs'!M238="","",'Model inputs'!M238&gt;0))=""),"",OR(IF(ISERROR('Model inputs'!L232&gt;0),'Model inputs'!L232&gt;0,IF('Model inputs'!L232="","",'Model inputs'!L232&gt;0)),IF(ISERROR('Model inputs'!M238&gt;0),'Model inputs'!M238&gt;0,IF('Model inputs'!M238="","",'Model inputs'!M238&gt;0))))))="",FALSE(),IF(IFERROR(IF(ISERROR('Model inputs'!L232&gt;0),'Model inputs'!L232&gt;0,IF('Model inputs'!L232="","",'Model inputs'!L232&gt;0))=TRUE(),FALSE()),TRUE(),IF(IFERROR(IF(ISERROR('Model inputs'!M238&gt;0),'Model inputs'!M238&gt;0,IF('Model inputs'!M238="","",'Model inputs'!M238&gt;0))=TRUE(),FALSE()),TRUE(),IF(OR(IF(ISERROR('Model inputs'!L232&gt;0),'Model inputs'!L232&gt;0,IF('Model inputs'!L232="","",'Model inputs'!L232&gt;0))="",IF(ISERROR('Model inputs'!M238&gt;0),'Model inputs'!M238&gt;0,IF('Model inputs'!M238="","",'Model inputs'!M238&gt;0))=""),"",OR(IF(ISERROR('Model inputs'!L232&gt;0),'Model inputs'!L232&gt;0,IF('Model inputs'!L232="","",'Model inputs'!L232&gt;0)),IF(ISERROR('Model inputs'!M238&gt;0),'Model inputs'!M238&gt;0,IF('Model inputs'!M238="","",'Model inputs'!M238&gt;0))))))),1,0)</f>
        <v>1</v>
      </c>
      <c r="N232" s="22" t="n">
        <f aca="false">IF(IF(IF(IFERROR(IF(ISERROR('Model inputs'!M232&gt;0),'Model inputs'!M232&gt;0,IF('Model inputs'!M232="","",'Model inputs'!M232&gt;0))=TRUE(),FALSE()),TRUE(),IF(IFERROR(IF(ISERROR('Model inputs'!N238&gt;0),'Model inputs'!N238&gt;0,IF('Model inputs'!N238="","",'Model inputs'!N238&gt;0))=TRUE(),FALSE()),TRUE(),IF(OR(IF(ISERROR('Model inputs'!M232&gt;0),'Model inputs'!M232&gt;0,IF('Model inputs'!M232="","",'Model inputs'!M232&gt;0))="",IF(ISERROR('Model inputs'!N238&gt;0),'Model inputs'!N238&gt;0,IF('Model inputs'!N238="","",'Model inputs'!N238&gt;0))=""),"",OR(IF(ISERROR('Model inputs'!M232&gt;0),'Model inputs'!M232&gt;0,IF('Model inputs'!M232="","",'Model inputs'!M232&gt;0)),IF(ISERROR('Model inputs'!N238&gt;0),'Model inputs'!N238&gt;0,IF('Model inputs'!N238="","",'Model inputs'!N238&gt;0))))))="",FALSE(),IF(IFERROR(IF(ISERROR('Model inputs'!M232&gt;0),'Model inputs'!M232&gt;0,IF('Model inputs'!M232="","",'Model inputs'!M232&gt;0))=TRUE(),FALSE()),TRUE(),IF(IFERROR(IF(ISERROR('Model inputs'!N238&gt;0),'Model inputs'!N238&gt;0,IF('Model inputs'!N238="","",'Model inputs'!N238&gt;0))=TRUE(),FALSE()),TRUE(),IF(OR(IF(ISERROR('Model inputs'!M232&gt;0),'Model inputs'!M232&gt;0,IF('Model inputs'!M232="","",'Model inputs'!M232&gt;0))="",IF(ISERROR('Model inputs'!N238&gt;0),'Model inputs'!N238&gt;0,IF('Model inputs'!N238="","",'Model inputs'!N238&gt;0))=""),"",OR(IF(ISERROR('Model inputs'!M232&gt;0),'Model inputs'!M232&gt;0,IF('Model inputs'!M232="","",'Model inputs'!M232&gt;0)),IF(ISERROR('Model inputs'!N238&gt;0),'Model inputs'!N238&gt;0,IF('Model inputs'!N238="","",'Model inputs'!N238&gt;0))))))),1,0)</f>
        <v>1</v>
      </c>
      <c r="O232" s="22" t="n">
        <f aca="false">IF(IF(IF(IFERROR(IF(ISERROR('Model inputs'!N232&gt;0),'Model inputs'!N232&gt;0,IF('Model inputs'!N232="","",'Model inputs'!N232&gt;0))=TRUE(),FALSE()),TRUE(),IF(IFERROR(IF(ISERROR('Model inputs'!O238&gt;0),'Model inputs'!O238&gt;0,IF('Model inputs'!O238="","",'Model inputs'!O238&gt;0))=TRUE(),FALSE()),TRUE(),IF(OR(IF(ISERROR('Model inputs'!N232&gt;0),'Model inputs'!N232&gt;0,IF('Model inputs'!N232="","",'Model inputs'!N232&gt;0))="",IF(ISERROR('Model inputs'!O238&gt;0),'Model inputs'!O238&gt;0,IF('Model inputs'!O238="","",'Model inputs'!O238&gt;0))=""),"",OR(IF(ISERROR('Model inputs'!N232&gt;0),'Model inputs'!N232&gt;0,IF('Model inputs'!N232="","",'Model inputs'!N232&gt;0)),IF(ISERROR('Model inputs'!O238&gt;0),'Model inputs'!O238&gt;0,IF('Model inputs'!O238="","",'Model inputs'!O238&gt;0))))))="",FALSE(),IF(IFERROR(IF(ISERROR('Model inputs'!N232&gt;0),'Model inputs'!N232&gt;0,IF('Model inputs'!N232="","",'Model inputs'!N232&gt;0))=TRUE(),FALSE()),TRUE(),IF(IFERROR(IF(ISERROR('Model inputs'!O238&gt;0),'Model inputs'!O238&gt;0,IF('Model inputs'!O238="","",'Model inputs'!O238&gt;0))=TRUE(),FALSE()),TRUE(),IF(OR(IF(ISERROR('Model inputs'!N232&gt;0),'Model inputs'!N232&gt;0,IF('Model inputs'!N232="","",'Model inputs'!N232&gt;0))="",IF(ISERROR('Model inputs'!O238&gt;0),'Model inputs'!O238&gt;0,IF('Model inputs'!O238="","",'Model inputs'!O238&gt;0))=""),"",OR(IF(ISERROR('Model inputs'!N232&gt;0),'Model inputs'!N232&gt;0,IF('Model inputs'!N232="","",'Model inputs'!N232&gt;0)),IF(ISERROR('Model inputs'!O238&gt;0),'Model inputs'!O238&gt;0,IF('Model inputs'!O238="","",'Model inputs'!O238&gt;0))))))),1,0)</f>
        <v>1</v>
      </c>
      <c r="P232" s="22" t="n">
        <f aca="false">IF(IF(IF(IFERROR(IF(ISERROR('Model inputs'!O232&gt;0),'Model inputs'!O232&gt;0,IF('Model inputs'!O232="","",'Model inputs'!O232&gt;0))=TRUE(),FALSE()),TRUE(),IF(IFERROR(IF(ISERROR('Model inputs'!P238&gt;0),'Model inputs'!P238&gt;0,IF('Model inputs'!P238="","",'Model inputs'!P238&gt;0))=TRUE(),FALSE()),TRUE(),IF(OR(IF(ISERROR('Model inputs'!O232&gt;0),'Model inputs'!O232&gt;0,IF('Model inputs'!O232="","",'Model inputs'!O232&gt;0))="",IF(ISERROR('Model inputs'!P238&gt;0),'Model inputs'!P238&gt;0,IF('Model inputs'!P238="","",'Model inputs'!P238&gt;0))=""),"",OR(IF(ISERROR('Model inputs'!O232&gt;0),'Model inputs'!O232&gt;0,IF('Model inputs'!O232="","",'Model inputs'!O232&gt;0)),IF(ISERROR('Model inputs'!P238&gt;0),'Model inputs'!P238&gt;0,IF('Model inputs'!P238="","",'Model inputs'!P238&gt;0))))))="",FALSE(),IF(IFERROR(IF(ISERROR('Model inputs'!O232&gt;0),'Model inputs'!O232&gt;0,IF('Model inputs'!O232="","",'Model inputs'!O232&gt;0))=TRUE(),FALSE()),TRUE(),IF(IFERROR(IF(ISERROR('Model inputs'!P238&gt;0),'Model inputs'!P238&gt;0,IF('Model inputs'!P238="","",'Model inputs'!P238&gt;0))=TRUE(),FALSE()),TRUE(),IF(OR(IF(ISERROR('Model inputs'!O232&gt;0),'Model inputs'!O232&gt;0,IF('Model inputs'!O232="","",'Model inputs'!O232&gt;0))="",IF(ISERROR('Model inputs'!P238&gt;0),'Model inputs'!P238&gt;0,IF('Model inputs'!P238="","",'Model inputs'!P238&gt;0))=""),"",OR(IF(ISERROR('Model inputs'!O232&gt;0),'Model inputs'!O232&gt;0,IF('Model inputs'!O232="","",'Model inputs'!O232&gt;0)),IF(ISERROR('Model inputs'!P238&gt;0),'Model inputs'!P238&gt;0,IF('Model inputs'!P238="","",'Model inputs'!P238&gt;0))))))),1,0)</f>
        <v>1</v>
      </c>
      <c r="Q232" s="22" t="n">
        <f aca="false">IF(IF(IF(IFERROR(IF(ISERROR('Model inputs'!P232&gt;0),'Model inputs'!P232&gt;0,IF('Model inputs'!P232="","",'Model inputs'!P232&gt;0))=TRUE(),FALSE()),TRUE(),IF(IFERROR(IF(ISERROR('Model inputs'!Q238&gt;0),'Model inputs'!Q238&gt;0,IF('Model inputs'!Q238="","",'Model inputs'!Q238&gt;0))=TRUE(),FALSE()),TRUE(),IF(OR(IF(ISERROR('Model inputs'!P232&gt;0),'Model inputs'!P232&gt;0,IF('Model inputs'!P232="","",'Model inputs'!P232&gt;0))="",IF(ISERROR('Model inputs'!Q238&gt;0),'Model inputs'!Q238&gt;0,IF('Model inputs'!Q238="","",'Model inputs'!Q238&gt;0))=""),"",OR(IF(ISERROR('Model inputs'!P232&gt;0),'Model inputs'!P232&gt;0,IF('Model inputs'!P232="","",'Model inputs'!P232&gt;0)),IF(ISERROR('Model inputs'!Q238&gt;0),'Model inputs'!Q238&gt;0,IF('Model inputs'!Q238="","",'Model inputs'!Q238&gt;0))))))="",FALSE(),IF(IFERROR(IF(ISERROR('Model inputs'!P232&gt;0),'Model inputs'!P232&gt;0,IF('Model inputs'!P232="","",'Model inputs'!P232&gt;0))=TRUE(),FALSE()),TRUE(),IF(IFERROR(IF(ISERROR('Model inputs'!Q238&gt;0),'Model inputs'!Q238&gt;0,IF('Model inputs'!Q238="","",'Model inputs'!Q238&gt;0))=TRUE(),FALSE()),TRUE(),IF(OR(IF(ISERROR('Model inputs'!P232&gt;0),'Model inputs'!P232&gt;0,IF('Model inputs'!P232="","",'Model inputs'!P232&gt;0))="",IF(ISERROR('Model inputs'!Q238&gt;0),'Model inputs'!Q238&gt;0,IF('Model inputs'!Q238="","",'Model inputs'!Q238&gt;0))=""),"",OR(IF(ISERROR('Model inputs'!P232&gt;0),'Model inputs'!P232&gt;0,IF('Model inputs'!P232="","",'Model inputs'!P232&gt;0)),IF(ISERROR('Model inputs'!Q238&gt;0),'Model inputs'!Q238&gt;0,IF('Model inputs'!Q238="","",'Model inputs'!Q238&gt;0))))))),1,0)</f>
        <v>1</v>
      </c>
      <c r="R232" s="22" t="n">
        <f aca="false">IF(IF(IF(IFERROR(IF(ISERROR('Model inputs'!Q232&gt;0),'Model inputs'!Q232&gt;0,IF('Model inputs'!Q232="","",'Model inputs'!Q232&gt;0))=TRUE(),FALSE()),TRUE(),IF(IFERROR(IF(ISERROR('Model inputs'!R238&gt;0),'Model inputs'!R238&gt;0,IF('Model inputs'!R238="","",'Model inputs'!R238&gt;0))=TRUE(),FALSE()),TRUE(),IF(OR(IF(ISERROR('Model inputs'!Q232&gt;0),'Model inputs'!Q232&gt;0,IF('Model inputs'!Q232="","",'Model inputs'!Q232&gt;0))="",IF(ISERROR('Model inputs'!R238&gt;0),'Model inputs'!R238&gt;0,IF('Model inputs'!R238="","",'Model inputs'!R238&gt;0))=""),"",OR(IF(ISERROR('Model inputs'!Q232&gt;0),'Model inputs'!Q232&gt;0,IF('Model inputs'!Q232="","",'Model inputs'!Q232&gt;0)),IF(ISERROR('Model inputs'!R238&gt;0),'Model inputs'!R238&gt;0,IF('Model inputs'!R238="","",'Model inputs'!R238&gt;0))))))="",FALSE(),IF(IFERROR(IF(ISERROR('Model inputs'!Q232&gt;0),'Model inputs'!Q232&gt;0,IF('Model inputs'!Q232="","",'Model inputs'!Q232&gt;0))=TRUE(),FALSE()),TRUE(),IF(IFERROR(IF(ISERROR('Model inputs'!R238&gt;0),'Model inputs'!R238&gt;0,IF('Model inputs'!R238="","",'Model inputs'!R238&gt;0))=TRUE(),FALSE()),TRUE(),IF(OR(IF(ISERROR('Model inputs'!Q232&gt;0),'Model inputs'!Q232&gt;0,IF('Model inputs'!Q232="","",'Model inputs'!Q232&gt;0))="",IF(ISERROR('Model inputs'!R238&gt;0),'Model inputs'!R238&gt;0,IF('Model inputs'!R238="","",'Model inputs'!R238&gt;0))=""),"",OR(IF(ISERROR('Model inputs'!Q232&gt;0),'Model inputs'!Q232&gt;0,IF('Model inputs'!Q232="","",'Model inputs'!Q232&gt;0)),IF(ISERROR('Model inputs'!R238&gt;0),'Model inputs'!R238&gt;0,IF('Model inputs'!R238="","",'Model inputs'!R238&gt;0))))))),1,0)</f>
        <v>1</v>
      </c>
      <c r="S232" s="22" t="n">
        <f aca="false">IF(IF(IF(IFERROR(IF(ISERROR('Model inputs'!R232&gt;0),'Model inputs'!R232&gt;0,IF('Model inputs'!R232="","",'Model inputs'!R232&gt;0))=TRUE(),FALSE()),TRUE(),IF(IFERROR(IF(ISERROR('Model inputs'!S238&gt;0),'Model inputs'!S238&gt;0,IF('Model inputs'!S238="","",'Model inputs'!S238&gt;0))=TRUE(),FALSE()),TRUE(),IF(OR(IF(ISERROR('Model inputs'!R232&gt;0),'Model inputs'!R232&gt;0,IF('Model inputs'!R232="","",'Model inputs'!R232&gt;0))="",IF(ISERROR('Model inputs'!S238&gt;0),'Model inputs'!S238&gt;0,IF('Model inputs'!S238="","",'Model inputs'!S238&gt;0))=""),"",OR(IF(ISERROR('Model inputs'!R232&gt;0),'Model inputs'!R232&gt;0,IF('Model inputs'!R232="","",'Model inputs'!R232&gt;0)),IF(ISERROR('Model inputs'!S238&gt;0),'Model inputs'!S238&gt;0,IF('Model inputs'!S238="","",'Model inputs'!S238&gt;0))))))="",FALSE(),IF(IFERROR(IF(ISERROR('Model inputs'!R232&gt;0),'Model inputs'!R232&gt;0,IF('Model inputs'!R232="","",'Model inputs'!R232&gt;0))=TRUE(),FALSE()),TRUE(),IF(IFERROR(IF(ISERROR('Model inputs'!S238&gt;0),'Model inputs'!S238&gt;0,IF('Model inputs'!S238="","",'Model inputs'!S238&gt;0))=TRUE(),FALSE()),TRUE(),IF(OR(IF(ISERROR('Model inputs'!R232&gt;0),'Model inputs'!R232&gt;0,IF('Model inputs'!R232="","",'Model inputs'!R232&gt;0))="",IF(ISERROR('Model inputs'!S238&gt;0),'Model inputs'!S238&gt;0,IF('Model inputs'!S238="","",'Model inputs'!S238&gt;0))=""),"",OR(IF(ISERROR('Model inputs'!R232&gt;0),'Model inputs'!R232&gt;0,IF('Model inputs'!R232="","",'Model inputs'!R232&gt;0)),IF(ISERROR('Model inputs'!S238&gt;0),'Model inputs'!S238&gt;0,IF('Model inputs'!S238="","",'Model inputs'!S238&gt;0))))))),1,0)</f>
        <v>1</v>
      </c>
      <c r="T232" s="22" t="n">
        <f aca="false">IF(IF(IF(IFERROR(IF(ISERROR('Model inputs'!S232&gt;0),'Model inputs'!S232&gt;0,IF('Model inputs'!S232="","",'Model inputs'!S232&gt;0))=TRUE(),FALSE()),TRUE(),IF(IFERROR(IF(ISERROR('Model inputs'!T238&gt;0),'Model inputs'!T238&gt;0,IF('Model inputs'!T238="","",'Model inputs'!T238&gt;0))=TRUE(),FALSE()),TRUE(),IF(OR(IF(ISERROR('Model inputs'!S232&gt;0),'Model inputs'!S232&gt;0,IF('Model inputs'!S232="","",'Model inputs'!S232&gt;0))="",IF(ISERROR('Model inputs'!T238&gt;0),'Model inputs'!T238&gt;0,IF('Model inputs'!T238="","",'Model inputs'!T238&gt;0))=""),"",OR(IF(ISERROR('Model inputs'!S232&gt;0),'Model inputs'!S232&gt;0,IF('Model inputs'!S232="","",'Model inputs'!S232&gt;0)),IF(ISERROR('Model inputs'!T238&gt;0),'Model inputs'!T238&gt;0,IF('Model inputs'!T238="","",'Model inputs'!T238&gt;0))))))="",FALSE(),IF(IFERROR(IF(ISERROR('Model inputs'!S232&gt;0),'Model inputs'!S232&gt;0,IF('Model inputs'!S232="","",'Model inputs'!S232&gt;0))=TRUE(),FALSE()),TRUE(),IF(IFERROR(IF(ISERROR('Model inputs'!T238&gt;0),'Model inputs'!T238&gt;0,IF('Model inputs'!T238="","",'Model inputs'!T238&gt;0))=TRUE(),FALSE()),TRUE(),IF(OR(IF(ISERROR('Model inputs'!S232&gt;0),'Model inputs'!S232&gt;0,IF('Model inputs'!S232="","",'Model inputs'!S232&gt;0))="",IF(ISERROR('Model inputs'!T238&gt;0),'Model inputs'!T238&gt;0,IF('Model inputs'!T238="","",'Model inputs'!T238&gt;0))=""),"",OR(IF(ISERROR('Model inputs'!S232&gt;0),'Model inputs'!S232&gt;0,IF('Model inputs'!S232="","",'Model inputs'!S232&gt;0)),IF(ISERROR('Model inputs'!T238&gt;0),'Model inputs'!T238&gt;0,IF('Model inputs'!T238="","",'Model inputs'!T238&gt;0))))))),1,0)</f>
        <v>1</v>
      </c>
      <c r="U232" s="22" t="n">
        <f aca="false">IF(IF(IF(IFERROR(IF(ISERROR('Model inputs'!T232&gt;0),'Model inputs'!T232&gt;0,IF('Model inputs'!T232="","",'Model inputs'!T232&gt;0))=TRUE(),FALSE()),TRUE(),IF(IFERROR(IF(ISERROR('Model inputs'!U238&gt;0),'Model inputs'!U238&gt;0,IF('Model inputs'!U238="","",'Model inputs'!U238&gt;0))=TRUE(),FALSE()),TRUE(),IF(OR(IF(ISERROR('Model inputs'!T232&gt;0),'Model inputs'!T232&gt;0,IF('Model inputs'!T232="","",'Model inputs'!T232&gt;0))="",IF(ISERROR('Model inputs'!U238&gt;0),'Model inputs'!U238&gt;0,IF('Model inputs'!U238="","",'Model inputs'!U238&gt;0))=""),"",OR(IF(ISERROR('Model inputs'!T232&gt;0),'Model inputs'!T232&gt;0,IF('Model inputs'!T232="","",'Model inputs'!T232&gt;0)),IF(ISERROR('Model inputs'!U238&gt;0),'Model inputs'!U238&gt;0,IF('Model inputs'!U238="","",'Model inputs'!U238&gt;0))))))="",FALSE(),IF(IFERROR(IF(ISERROR('Model inputs'!T232&gt;0),'Model inputs'!T232&gt;0,IF('Model inputs'!T232="","",'Model inputs'!T232&gt;0))=TRUE(),FALSE()),TRUE(),IF(IFERROR(IF(ISERROR('Model inputs'!U238&gt;0),'Model inputs'!U238&gt;0,IF('Model inputs'!U238="","",'Model inputs'!U238&gt;0))=TRUE(),FALSE()),TRUE(),IF(OR(IF(ISERROR('Model inputs'!T232&gt;0),'Model inputs'!T232&gt;0,IF('Model inputs'!T232="","",'Model inputs'!T232&gt;0))="",IF(ISERROR('Model inputs'!U238&gt;0),'Model inputs'!U238&gt;0,IF('Model inputs'!U238="","",'Model inputs'!U238&gt;0))=""),"",OR(IF(ISERROR('Model inputs'!T232&gt;0),'Model inputs'!T232&gt;0,IF('Model inputs'!T232="","",'Model inputs'!T232&gt;0)),IF(ISERROR('Model inputs'!U238&gt;0),'Model inputs'!U238&gt;0,IF('Model inputs'!U238="","",'Model inputs'!U238&gt;0))))))),1,0)</f>
        <v>1</v>
      </c>
      <c r="V232" s="22" t="n">
        <f aca="false">IF(IF(IF(IFERROR(IF(ISERROR('Model inputs'!U232&gt;0),'Model inputs'!U232&gt;0,IF('Model inputs'!U232="","",'Model inputs'!U232&gt;0))=TRUE(),FALSE()),TRUE(),IF(IFERROR(IF(ISERROR('Model inputs'!V238&gt;0),'Model inputs'!V238&gt;0,IF('Model inputs'!V238="","",'Model inputs'!V238&gt;0))=TRUE(),FALSE()),TRUE(),IF(OR(IF(ISERROR('Model inputs'!U232&gt;0),'Model inputs'!U232&gt;0,IF('Model inputs'!U232="","",'Model inputs'!U232&gt;0))="",IF(ISERROR('Model inputs'!V238&gt;0),'Model inputs'!V238&gt;0,IF('Model inputs'!V238="","",'Model inputs'!V238&gt;0))=""),"",OR(IF(ISERROR('Model inputs'!U232&gt;0),'Model inputs'!U232&gt;0,IF('Model inputs'!U232="","",'Model inputs'!U232&gt;0)),IF(ISERROR('Model inputs'!V238&gt;0),'Model inputs'!V238&gt;0,IF('Model inputs'!V238="","",'Model inputs'!V238&gt;0))))))="",FALSE(),IF(IFERROR(IF(ISERROR('Model inputs'!U232&gt;0),'Model inputs'!U232&gt;0,IF('Model inputs'!U232="","",'Model inputs'!U232&gt;0))=TRUE(),FALSE()),TRUE(),IF(IFERROR(IF(ISERROR('Model inputs'!V238&gt;0),'Model inputs'!V238&gt;0,IF('Model inputs'!V238="","",'Model inputs'!V238&gt;0))=TRUE(),FALSE()),TRUE(),IF(OR(IF(ISERROR('Model inputs'!U232&gt;0),'Model inputs'!U232&gt;0,IF('Model inputs'!U232="","",'Model inputs'!U232&gt;0))="",IF(ISERROR('Model inputs'!V238&gt;0),'Model inputs'!V238&gt;0,IF('Model inputs'!V238="","",'Model inputs'!V238&gt;0))=""),"",OR(IF(ISERROR('Model inputs'!U232&gt;0),'Model inputs'!U232&gt;0,IF('Model inputs'!U232="","",'Model inputs'!U232&gt;0)),IF(ISERROR('Model inputs'!V238&gt;0),'Model inputs'!V238&gt;0,IF('Model inputs'!V238="","",'Model inputs'!V238&gt;0))))))),1,0)</f>
        <v>1</v>
      </c>
      <c r="W232" s="22" t="n">
        <f aca="false">IF(IF(IF(IFERROR(IF(ISERROR('Model inputs'!V232&gt;0),'Model inputs'!V232&gt;0,IF('Model inputs'!V232="","",'Model inputs'!V232&gt;0))=TRUE(),FALSE()),TRUE(),IF(IFERROR(IF(ISERROR('Model inputs'!W238&gt;0),'Model inputs'!W238&gt;0,IF('Model inputs'!W238="","",'Model inputs'!W238&gt;0))=TRUE(),FALSE()),TRUE(),IF(OR(IF(ISERROR('Model inputs'!V232&gt;0),'Model inputs'!V232&gt;0,IF('Model inputs'!V232="","",'Model inputs'!V232&gt;0))="",IF(ISERROR('Model inputs'!W238&gt;0),'Model inputs'!W238&gt;0,IF('Model inputs'!W238="","",'Model inputs'!W238&gt;0))=""),"",OR(IF(ISERROR('Model inputs'!V232&gt;0),'Model inputs'!V232&gt;0,IF('Model inputs'!V232="","",'Model inputs'!V232&gt;0)),IF(ISERROR('Model inputs'!W238&gt;0),'Model inputs'!W238&gt;0,IF('Model inputs'!W238="","",'Model inputs'!W238&gt;0))))))="",FALSE(),IF(IFERROR(IF(ISERROR('Model inputs'!V232&gt;0),'Model inputs'!V232&gt;0,IF('Model inputs'!V232="","",'Model inputs'!V232&gt;0))=TRUE(),FALSE()),TRUE(),IF(IFERROR(IF(ISERROR('Model inputs'!W238&gt;0),'Model inputs'!W238&gt;0,IF('Model inputs'!W238="","",'Model inputs'!W238&gt;0))=TRUE(),FALSE()),TRUE(),IF(OR(IF(ISERROR('Model inputs'!V232&gt;0),'Model inputs'!V232&gt;0,IF('Model inputs'!V232="","",'Model inputs'!V232&gt;0))="",IF(ISERROR('Model inputs'!W238&gt;0),'Model inputs'!W238&gt;0,IF('Model inputs'!W238="","",'Model inputs'!W238&gt;0))=""),"",OR(IF(ISERROR('Model inputs'!V232&gt;0),'Model inputs'!V232&gt;0,IF('Model inputs'!V232="","",'Model inputs'!V232&gt;0)),IF(ISERROR('Model inputs'!W238&gt;0),'Model inputs'!W238&gt;0,IF('Model inputs'!W238="","",'Model inputs'!W238&gt;0))))))),1,0)</f>
        <v>1</v>
      </c>
      <c r="X232" s="22" t="n">
        <f aca="false">IF(IF(IF(IFERROR(IF(ISERROR('Model inputs'!W232&gt;0),'Model inputs'!W232&gt;0,IF('Model inputs'!W232="","",'Model inputs'!W232&gt;0))=TRUE(),FALSE()),TRUE(),IF(IFERROR(IF(ISERROR('Model inputs'!X238&gt;0),'Model inputs'!X238&gt;0,IF('Model inputs'!X238="","",'Model inputs'!X238&gt;0))=TRUE(),FALSE()),TRUE(),IF(OR(IF(ISERROR('Model inputs'!W232&gt;0),'Model inputs'!W232&gt;0,IF('Model inputs'!W232="","",'Model inputs'!W232&gt;0))="",IF(ISERROR('Model inputs'!X238&gt;0),'Model inputs'!X238&gt;0,IF('Model inputs'!X238="","",'Model inputs'!X238&gt;0))=""),"",OR(IF(ISERROR('Model inputs'!W232&gt;0),'Model inputs'!W232&gt;0,IF('Model inputs'!W232="","",'Model inputs'!W232&gt;0)),IF(ISERROR('Model inputs'!X238&gt;0),'Model inputs'!X238&gt;0,IF('Model inputs'!X238="","",'Model inputs'!X238&gt;0))))))="",FALSE(),IF(IFERROR(IF(ISERROR('Model inputs'!W232&gt;0),'Model inputs'!W232&gt;0,IF('Model inputs'!W232="","",'Model inputs'!W232&gt;0))=TRUE(),FALSE()),TRUE(),IF(IFERROR(IF(ISERROR('Model inputs'!X238&gt;0),'Model inputs'!X238&gt;0,IF('Model inputs'!X238="","",'Model inputs'!X238&gt;0))=TRUE(),FALSE()),TRUE(),IF(OR(IF(ISERROR('Model inputs'!W232&gt;0),'Model inputs'!W232&gt;0,IF('Model inputs'!W232="","",'Model inputs'!W232&gt;0))="",IF(ISERROR('Model inputs'!X238&gt;0),'Model inputs'!X238&gt;0,IF('Model inputs'!X238="","",'Model inputs'!X238&gt;0))=""),"",OR(IF(ISERROR('Model inputs'!W232&gt;0),'Model inputs'!W232&gt;0,IF('Model inputs'!W232="","",'Model inputs'!W232&gt;0)),IF(ISERROR('Model inputs'!X238&gt;0),'Model inputs'!X238&gt;0,IF('Model inputs'!X238="","",'Model inputs'!X238&gt;0))))))),1,0)</f>
        <v>1</v>
      </c>
      <c r="Y232" s="22" t="n">
        <f aca="false">IF(IF(IF(IFERROR(IF(ISERROR('Model inputs'!X232&gt;0),'Model inputs'!X232&gt;0,IF('Model inputs'!X232="","",'Model inputs'!X232&gt;0))=TRUE(),FALSE()),TRUE(),IF(IFERROR(IF(ISERROR('Model inputs'!Y238&gt;0),'Model inputs'!Y238&gt;0,IF('Model inputs'!Y238="","",'Model inputs'!Y238&gt;0))=TRUE(),FALSE()),TRUE(),IF(OR(IF(ISERROR('Model inputs'!X232&gt;0),'Model inputs'!X232&gt;0,IF('Model inputs'!X232="","",'Model inputs'!X232&gt;0))="",IF(ISERROR('Model inputs'!Y238&gt;0),'Model inputs'!Y238&gt;0,IF('Model inputs'!Y238="","",'Model inputs'!Y238&gt;0))=""),"",OR(IF(ISERROR('Model inputs'!X232&gt;0),'Model inputs'!X232&gt;0,IF('Model inputs'!X232="","",'Model inputs'!X232&gt;0)),IF(ISERROR('Model inputs'!Y238&gt;0),'Model inputs'!Y238&gt;0,IF('Model inputs'!Y238="","",'Model inputs'!Y238&gt;0))))))="",FALSE(),IF(IFERROR(IF(ISERROR('Model inputs'!X232&gt;0),'Model inputs'!X232&gt;0,IF('Model inputs'!X232="","",'Model inputs'!X232&gt;0))=TRUE(),FALSE()),TRUE(),IF(IFERROR(IF(ISERROR('Model inputs'!Y238&gt;0),'Model inputs'!Y238&gt;0,IF('Model inputs'!Y238="","",'Model inputs'!Y238&gt;0))=TRUE(),FALSE()),TRUE(),IF(OR(IF(ISERROR('Model inputs'!X232&gt;0),'Model inputs'!X232&gt;0,IF('Model inputs'!X232="","",'Model inputs'!X232&gt;0))="",IF(ISERROR('Model inputs'!Y238&gt;0),'Model inputs'!Y238&gt;0,IF('Model inputs'!Y238="","",'Model inputs'!Y238&gt;0))=""),"",OR(IF(ISERROR('Model inputs'!X232&gt;0),'Model inputs'!X232&gt;0,IF('Model inputs'!X232="","",'Model inputs'!X232&gt;0)),IF(ISERROR('Model inputs'!Y238&gt;0),'Model inputs'!Y238&gt;0,IF('Model inputs'!Y238="","",'Model inputs'!Y238&gt;0))))))),1,0)</f>
        <v>1</v>
      </c>
    </row>
    <row r="233" customFormat="false" ht="18" hidden="false" customHeight="false" outlineLevel="0" collapsed="false">
      <c r="A233" s="27" t="s">
        <v>425</v>
      </c>
      <c r="AA233" s="12" t="n">
        <f aca="false">'Gainsay drivers · Gainsay fixed'!B30</f>
        <v>0</v>
      </c>
    </row>
    <row r="234" customFormat="false" ht="18" hidden="false" customHeight="false" outlineLevel="0" collapsed="false">
      <c r="A234" s="27" t="s">
        <v>426</v>
      </c>
      <c r="AA234" s="12" t="n">
        <f aca="false">'Gainsay drivers · Gainsay fixed'!B30</f>
        <v>0</v>
      </c>
    </row>
    <row r="235" customFormat="false" ht="18" hidden="false" customHeight="false" outlineLevel="0" collapsed="false">
      <c r="A235" s="27" t="s">
        <v>427</v>
      </c>
      <c r="AA235" s="12" t="n">
        <f aca="false">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</f>
        <v>-53.1990177423553</v>
      </c>
    </row>
    <row r="236" customFormat="false" ht="18" hidden="false" customHeight="false" outlineLevel="0" collapsed="false">
      <c r="A236" s="27" t="s">
        <v>428</v>
      </c>
      <c r="AA236" s="12" t="n">
        <f aca="false">'Model inputs'!Z23*('Model inputs'!Z49+'Model inputs'!Z100)</f>
        <v>3031.8</v>
      </c>
    </row>
    <row r="237" customFormat="false" ht="18" hidden="false" customHeight="false" outlineLevel="0" collapsed="false">
      <c r="A237" s="27" t="s">
        <v>429</v>
      </c>
      <c r="B237" s="22" t="n">
        <v>0</v>
      </c>
      <c r="C237" s="22" t="n">
        <v>0</v>
      </c>
      <c r="D237" s="22" t="n">
        <v>0</v>
      </c>
      <c r="E237" s="22" t="n">
        <v>0</v>
      </c>
      <c r="F237" s="22" t="n">
        <v>0</v>
      </c>
      <c r="G237" s="22" t="n">
        <v>0</v>
      </c>
      <c r="H237" s="22" t="n">
        <v>0</v>
      </c>
      <c r="I237" s="22" t="n">
        <v>0</v>
      </c>
      <c r="J237" s="22" t="n">
        <v>0</v>
      </c>
      <c r="K237" s="22" t="n">
        <f aca="false">IF(IF(IF(ISERROR('Model inputs'!K239&gt;'Model inputs'!AA241),'Model inputs'!K239&gt;'Model inputs'!AA241,IF(OR('Model inputs'!K239="",'Model inputs'!AA241=""),"",'Model inputs'!K239&gt;'Model inputs'!AA241))="",FALSE(),IF(ISERROR('Model inputs'!K239&gt;'Model inputs'!AA241),'Model inputs'!K239&gt;'Model inputs'!AA241,IF(OR('Model inputs'!K239="",'Model inputs'!AA241=""),"",'Model inputs'!K239&gt;'Model inputs'!AA241))),1,0)</f>
        <v>0</v>
      </c>
      <c r="L237" s="22" t="n">
        <f aca="false">IF(IF(IF(ISERROR('Model inputs'!L239&gt;'Model inputs'!AA241),'Model inputs'!L239&gt;'Model inputs'!AA241,IF(OR('Model inputs'!L239="",'Model inputs'!AA241=""),"",'Model inputs'!L239&gt;'Model inputs'!AA241))="",FALSE(),IF(ISERROR('Model inputs'!L239&gt;'Model inputs'!AA241),'Model inputs'!L239&gt;'Model inputs'!AA241,IF(OR('Model inputs'!L239="",'Model inputs'!AA241=""),"",'Model inputs'!L239&gt;'Model inputs'!AA241))),1,0)</f>
        <v>0</v>
      </c>
      <c r="M237" s="22" t="n">
        <f aca="false">IF(IF(IF(ISERROR('Model inputs'!M239&gt;'Model inputs'!AA241),'Model inputs'!M239&gt;'Model inputs'!AA241,IF(OR('Model inputs'!M239="",'Model inputs'!AA241=""),"",'Model inputs'!M239&gt;'Model inputs'!AA241))="",FALSE(),IF(ISERROR('Model inputs'!M239&gt;'Model inputs'!AA241),'Model inputs'!M239&gt;'Model inputs'!AA241,IF(OR('Model inputs'!M239="",'Model inputs'!AA241=""),"",'Model inputs'!M239&gt;'Model inputs'!AA241))),1,0)</f>
        <v>0</v>
      </c>
      <c r="N237" s="22" t="n">
        <f aca="false">IF(IF(IF(ISERROR('Model inputs'!N239&gt;'Model inputs'!AA241),'Model inputs'!N239&gt;'Model inputs'!AA241,IF(OR('Model inputs'!N239="",'Model inputs'!AA241=""),"",'Model inputs'!N239&gt;'Model inputs'!AA241))="",FALSE(),IF(ISERROR('Model inputs'!N239&gt;'Model inputs'!AA241),'Model inputs'!N239&gt;'Model inputs'!AA241,IF(OR('Model inputs'!N239="",'Model inputs'!AA241=""),"",'Model inputs'!N239&gt;'Model inputs'!AA241))),1,0)</f>
        <v>0</v>
      </c>
      <c r="O237" s="22" t="n">
        <f aca="false">IF(IF(IF(ISERROR('Model inputs'!O239&gt;'Model inputs'!AA241),'Model inputs'!O239&gt;'Model inputs'!AA241,IF(OR('Model inputs'!O239="",'Model inputs'!AA241=""),"",'Model inputs'!O239&gt;'Model inputs'!AA241))="",FALSE(),IF(ISERROR('Model inputs'!O239&gt;'Model inputs'!AA241),'Model inputs'!O239&gt;'Model inputs'!AA241,IF(OR('Model inputs'!O239="",'Model inputs'!AA241=""),"",'Model inputs'!O239&gt;'Model inputs'!AA241))),1,0)</f>
        <v>0</v>
      </c>
      <c r="P237" s="22" t="n">
        <f aca="false">IF(IF(IF(ISERROR('Model inputs'!P239&gt;'Model inputs'!AA241),'Model inputs'!P239&gt;'Model inputs'!AA241,IF(OR('Model inputs'!P239="",'Model inputs'!AA241=""),"",'Model inputs'!P239&gt;'Model inputs'!AA241))="",FALSE(),IF(ISERROR('Model inputs'!P239&gt;'Model inputs'!AA241),'Model inputs'!P239&gt;'Model inputs'!AA241,IF(OR('Model inputs'!P239="",'Model inputs'!AA241=""),"",'Model inputs'!P239&gt;'Model inputs'!AA241))),1,0)</f>
        <v>0</v>
      </c>
      <c r="Q237" s="22" t="n">
        <f aca="false">IF(IF(IF(ISERROR('Model inputs'!Q239&gt;'Model inputs'!AA241),'Model inputs'!Q239&gt;'Model inputs'!AA241,IF(OR('Model inputs'!Q239="",'Model inputs'!AA241=""),"",'Model inputs'!Q239&gt;'Model inputs'!AA241))="",FALSE(),IF(ISERROR('Model inputs'!Q239&gt;'Model inputs'!AA241),'Model inputs'!Q239&gt;'Model inputs'!AA241,IF(OR('Model inputs'!Q239="",'Model inputs'!AA241=""),"",'Model inputs'!Q239&gt;'Model inputs'!AA241))),1,0)</f>
        <v>0</v>
      </c>
      <c r="R237" s="22" t="n">
        <f aca="false">IF(IF(IF(ISERROR('Model inputs'!R239&gt;'Model inputs'!AA241),'Model inputs'!R239&gt;'Model inputs'!AA241,IF(OR('Model inputs'!R239="",'Model inputs'!AA241=""),"",'Model inputs'!R239&gt;'Model inputs'!AA241))="",FALSE(),IF(ISERROR('Model inputs'!R239&gt;'Model inputs'!AA241),'Model inputs'!R239&gt;'Model inputs'!AA241,IF(OR('Model inputs'!R239="",'Model inputs'!AA241=""),"",'Model inputs'!R239&gt;'Model inputs'!AA241))),1,0)</f>
        <v>0</v>
      </c>
      <c r="S237" s="22" t="n">
        <f aca="false">IF(IF(IF(ISERROR('Model inputs'!S239&gt;'Model inputs'!AA241),'Model inputs'!S239&gt;'Model inputs'!AA241,IF(OR('Model inputs'!S239="",'Model inputs'!AA241=""),"",'Model inputs'!S239&gt;'Model inputs'!AA241))="",FALSE(),IF(ISERROR('Model inputs'!S239&gt;'Model inputs'!AA241),'Model inputs'!S239&gt;'Model inputs'!AA241,IF(OR('Model inputs'!S239="",'Model inputs'!AA241=""),"",'Model inputs'!S239&gt;'Model inputs'!AA241))),1,0)</f>
        <v>0</v>
      </c>
      <c r="T237" s="22" t="n">
        <f aca="false">IF(IF(IF(ISERROR('Model inputs'!T239&gt;'Model inputs'!AA241),'Model inputs'!T239&gt;'Model inputs'!AA241,IF(OR('Model inputs'!T239="",'Model inputs'!AA241=""),"",'Model inputs'!T239&gt;'Model inputs'!AA241))="",FALSE(),IF(ISERROR('Model inputs'!T239&gt;'Model inputs'!AA241),'Model inputs'!T239&gt;'Model inputs'!AA241,IF(OR('Model inputs'!T239="",'Model inputs'!AA241=""),"",'Model inputs'!T239&gt;'Model inputs'!AA241))),1,0)</f>
        <v>0</v>
      </c>
      <c r="U237" s="22" t="n">
        <f aca="false">IF(IF(IF(ISERROR('Model inputs'!U239&gt;'Model inputs'!AA241),'Model inputs'!U239&gt;'Model inputs'!AA241,IF(OR('Model inputs'!U239="",'Model inputs'!AA241=""),"",'Model inputs'!U239&gt;'Model inputs'!AA241))="",FALSE(),IF(ISERROR('Model inputs'!U239&gt;'Model inputs'!AA241),'Model inputs'!U239&gt;'Model inputs'!AA241,IF(OR('Model inputs'!U239="",'Model inputs'!AA241=""),"",'Model inputs'!U239&gt;'Model inputs'!AA241))),1,0)</f>
        <v>0</v>
      </c>
      <c r="V237" s="22" t="n">
        <f aca="false">IF(IF(IF(ISERROR('Model inputs'!V239&gt;'Model inputs'!AA241),'Model inputs'!V239&gt;'Model inputs'!AA241,IF(OR('Model inputs'!V239="",'Model inputs'!AA241=""),"",'Model inputs'!V239&gt;'Model inputs'!AA241))="",FALSE(),IF(ISERROR('Model inputs'!V239&gt;'Model inputs'!AA241),'Model inputs'!V239&gt;'Model inputs'!AA241,IF(OR('Model inputs'!V239="",'Model inputs'!AA241=""),"",'Model inputs'!V239&gt;'Model inputs'!AA241))),1,0)</f>
        <v>0</v>
      </c>
      <c r="W237" s="22" t="n">
        <f aca="false">IF(IF(IF(ISERROR('Model inputs'!W239&gt;'Model inputs'!AA241),'Model inputs'!W239&gt;'Model inputs'!AA241,IF(OR('Model inputs'!W239="",'Model inputs'!AA241=""),"",'Model inputs'!W239&gt;'Model inputs'!AA241))="",FALSE(),IF(ISERROR('Model inputs'!W239&gt;'Model inputs'!AA241),'Model inputs'!W239&gt;'Model inputs'!AA241,IF(OR('Model inputs'!W239="",'Model inputs'!AA241=""),"",'Model inputs'!W239&gt;'Model inputs'!AA241))),1,0)</f>
        <v>0</v>
      </c>
      <c r="X237" s="22" t="n">
        <f aca="false">IF(IF(IF(ISERROR('Model inputs'!X239&gt;'Model inputs'!AA241),'Model inputs'!X239&gt;'Model inputs'!AA241,IF(OR('Model inputs'!X239="",'Model inputs'!AA241=""),"",'Model inputs'!X239&gt;'Model inputs'!AA241))="",FALSE(),IF(ISERROR('Model inputs'!X239&gt;'Model inputs'!AA241),'Model inputs'!X239&gt;'Model inputs'!AA241,IF(OR('Model inputs'!X239="",'Model inputs'!AA241=""),"",'Model inputs'!X239&gt;'Model inputs'!AA241))),1,0)</f>
        <v>0</v>
      </c>
      <c r="Y237" s="22" t="n">
        <f aca="false">IF(IF(IF(ISERROR('Model inputs'!Y239&gt;'Model inputs'!AA241),'Model inputs'!Y239&gt;'Model inputs'!AA241,IF(OR('Model inputs'!Y239="",'Model inputs'!AA241=""),"",'Model inputs'!Y239&gt;'Model inputs'!AA241))="",FALSE(),IF(ISERROR('Model inputs'!Y239&gt;'Model inputs'!AA241),'Model inputs'!Y239&gt;'Model inputs'!AA241,IF(OR('Model inputs'!Y239="",'Model inputs'!AA241=""),"",'Model inputs'!Y239&gt;'Model inputs'!AA241))),1,0)</f>
        <v>0</v>
      </c>
    </row>
    <row r="238" customFormat="false" ht="18" hidden="false" customHeight="false" outlineLevel="0" collapsed="false">
      <c r="A238" s="27" t="s">
        <v>430</v>
      </c>
      <c r="B238" s="22" t="n">
        <v>0</v>
      </c>
      <c r="C238" s="22" t="n">
        <v>0</v>
      </c>
      <c r="D238" s="22" t="n">
        <v>0</v>
      </c>
      <c r="E238" s="22" t="n">
        <v>0</v>
      </c>
      <c r="F238" s="22" t="n">
        <v>0</v>
      </c>
      <c r="G238" s="22" t="n">
        <v>0</v>
      </c>
      <c r="H238" s="22" t="n">
        <v>0</v>
      </c>
      <c r="I238" s="22" t="n">
        <v>0</v>
      </c>
      <c r="J238" s="22" t="n">
        <v>0</v>
      </c>
      <c r="K238" s="22" t="n">
        <f aca="false">IF(IF(IF(ISERROR('Model inputs'!K240&gt;'Model inputs'!AA242),'Model inputs'!K240&gt;'Model inputs'!AA242,IF(OR('Model inputs'!K240="",'Model inputs'!AA242=""),"",'Model inputs'!K240&gt;'Model inputs'!AA242))="",FALSE(),IF(ISERROR('Model inputs'!K240&gt;'Model inputs'!AA242),'Model inputs'!K240&gt;'Model inputs'!AA242,IF(OR('Model inputs'!K240="",'Model inputs'!AA242=""),"",'Model inputs'!K240&gt;'Model inputs'!AA242))),1,0)</f>
        <v>1</v>
      </c>
      <c r="L238" s="22" t="n">
        <f aca="false">IF(IF(IF(ISERROR('Model inputs'!L240&gt;'Model inputs'!AA242),'Model inputs'!L240&gt;'Model inputs'!AA242,IF(OR('Model inputs'!L240="",'Model inputs'!AA242=""),"",'Model inputs'!L240&gt;'Model inputs'!AA242))="",FALSE(),IF(ISERROR('Model inputs'!L240&gt;'Model inputs'!AA242),'Model inputs'!L240&gt;'Model inputs'!AA242,IF(OR('Model inputs'!L240="",'Model inputs'!AA242=""),"",'Model inputs'!L240&gt;'Model inputs'!AA242))),1,0)</f>
        <v>1</v>
      </c>
      <c r="M238" s="22" t="n">
        <f aca="false">IF(IF(IF(ISERROR('Model inputs'!M240&gt;'Model inputs'!AA242),'Model inputs'!M240&gt;'Model inputs'!AA242,IF(OR('Model inputs'!M240="",'Model inputs'!AA242=""),"",'Model inputs'!M240&gt;'Model inputs'!AA242))="",FALSE(),IF(ISERROR('Model inputs'!M240&gt;'Model inputs'!AA242),'Model inputs'!M240&gt;'Model inputs'!AA242,IF(OR('Model inputs'!M240="",'Model inputs'!AA242=""),"",'Model inputs'!M240&gt;'Model inputs'!AA242))),1,0)</f>
        <v>1</v>
      </c>
      <c r="N238" s="22" t="n">
        <f aca="false">IF(IF(IF(ISERROR('Model inputs'!N240&gt;'Model inputs'!AA242),'Model inputs'!N240&gt;'Model inputs'!AA242,IF(OR('Model inputs'!N240="",'Model inputs'!AA242=""),"",'Model inputs'!N240&gt;'Model inputs'!AA242))="",FALSE(),IF(ISERROR('Model inputs'!N240&gt;'Model inputs'!AA242),'Model inputs'!N240&gt;'Model inputs'!AA242,IF(OR('Model inputs'!N240="",'Model inputs'!AA242=""),"",'Model inputs'!N240&gt;'Model inputs'!AA242))),1,0)</f>
        <v>1</v>
      </c>
      <c r="O238" s="22" t="n">
        <f aca="false">IF(IF(IF(ISERROR('Model inputs'!O240&gt;'Model inputs'!AA242),'Model inputs'!O240&gt;'Model inputs'!AA242,IF(OR('Model inputs'!O240="",'Model inputs'!AA242=""),"",'Model inputs'!O240&gt;'Model inputs'!AA242))="",FALSE(),IF(ISERROR('Model inputs'!O240&gt;'Model inputs'!AA242),'Model inputs'!O240&gt;'Model inputs'!AA242,IF(OR('Model inputs'!O240="",'Model inputs'!AA242=""),"",'Model inputs'!O240&gt;'Model inputs'!AA242))),1,0)</f>
        <v>1</v>
      </c>
      <c r="P238" s="22" t="n">
        <f aca="false">IF(IF(IF(ISERROR('Model inputs'!P240&gt;'Model inputs'!AA242),'Model inputs'!P240&gt;'Model inputs'!AA242,IF(OR('Model inputs'!P240="",'Model inputs'!AA242=""),"",'Model inputs'!P240&gt;'Model inputs'!AA242))="",FALSE(),IF(ISERROR('Model inputs'!P240&gt;'Model inputs'!AA242),'Model inputs'!P240&gt;'Model inputs'!AA242,IF(OR('Model inputs'!P240="",'Model inputs'!AA242=""),"",'Model inputs'!P240&gt;'Model inputs'!AA242))),1,0)</f>
        <v>1</v>
      </c>
      <c r="Q238" s="22" t="n">
        <f aca="false">IF(IF(IF(ISERROR('Model inputs'!Q240&gt;'Model inputs'!AA242),'Model inputs'!Q240&gt;'Model inputs'!AA242,IF(OR('Model inputs'!Q240="",'Model inputs'!AA242=""),"",'Model inputs'!Q240&gt;'Model inputs'!AA242))="",FALSE(),IF(ISERROR('Model inputs'!Q240&gt;'Model inputs'!AA242),'Model inputs'!Q240&gt;'Model inputs'!AA242,IF(OR('Model inputs'!Q240="",'Model inputs'!AA242=""),"",'Model inputs'!Q240&gt;'Model inputs'!AA242))),1,0)</f>
        <v>1</v>
      </c>
      <c r="R238" s="22" t="n">
        <f aca="false">IF(IF(IF(ISERROR('Model inputs'!R240&gt;'Model inputs'!AA242),'Model inputs'!R240&gt;'Model inputs'!AA242,IF(OR('Model inputs'!R240="",'Model inputs'!AA242=""),"",'Model inputs'!R240&gt;'Model inputs'!AA242))="",FALSE(),IF(ISERROR('Model inputs'!R240&gt;'Model inputs'!AA242),'Model inputs'!R240&gt;'Model inputs'!AA242,IF(OR('Model inputs'!R240="",'Model inputs'!AA242=""),"",'Model inputs'!R240&gt;'Model inputs'!AA242))),1,0)</f>
        <v>1</v>
      </c>
      <c r="S238" s="22" t="n">
        <f aca="false">IF(IF(IF(ISERROR('Model inputs'!S240&gt;'Model inputs'!AA242),'Model inputs'!S240&gt;'Model inputs'!AA242,IF(OR('Model inputs'!S240="",'Model inputs'!AA242=""),"",'Model inputs'!S240&gt;'Model inputs'!AA242))="",FALSE(),IF(ISERROR('Model inputs'!S240&gt;'Model inputs'!AA242),'Model inputs'!S240&gt;'Model inputs'!AA242,IF(OR('Model inputs'!S240="",'Model inputs'!AA242=""),"",'Model inputs'!S240&gt;'Model inputs'!AA242))),1,0)</f>
        <v>1</v>
      </c>
      <c r="T238" s="22" t="n">
        <f aca="false">IF(IF(IF(ISERROR('Model inputs'!T240&gt;'Model inputs'!AA242),'Model inputs'!T240&gt;'Model inputs'!AA242,IF(OR('Model inputs'!T240="",'Model inputs'!AA242=""),"",'Model inputs'!T240&gt;'Model inputs'!AA242))="",FALSE(),IF(ISERROR('Model inputs'!T240&gt;'Model inputs'!AA242),'Model inputs'!T240&gt;'Model inputs'!AA242,IF(OR('Model inputs'!T240="",'Model inputs'!AA242=""),"",'Model inputs'!T240&gt;'Model inputs'!AA242))),1,0)</f>
        <v>1</v>
      </c>
      <c r="U238" s="22" t="n">
        <f aca="false">IF(IF(IF(ISERROR('Model inputs'!U240&gt;'Model inputs'!AA242),'Model inputs'!U240&gt;'Model inputs'!AA242,IF(OR('Model inputs'!U240="",'Model inputs'!AA242=""),"",'Model inputs'!U240&gt;'Model inputs'!AA242))="",FALSE(),IF(ISERROR('Model inputs'!U240&gt;'Model inputs'!AA242),'Model inputs'!U240&gt;'Model inputs'!AA242,IF(OR('Model inputs'!U240="",'Model inputs'!AA242=""),"",'Model inputs'!U240&gt;'Model inputs'!AA242))),1,0)</f>
        <v>1</v>
      </c>
      <c r="V238" s="22" t="n">
        <f aca="false">IF(IF(IF(ISERROR('Model inputs'!V240&gt;'Model inputs'!AA242),'Model inputs'!V240&gt;'Model inputs'!AA242,IF(OR('Model inputs'!V240="",'Model inputs'!AA242=""),"",'Model inputs'!V240&gt;'Model inputs'!AA242))="",FALSE(),IF(ISERROR('Model inputs'!V240&gt;'Model inputs'!AA242),'Model inputs'!V240&gt;'Model inputs'!AA242,IF(OR('Model inputs'!V240="",'Model inputs'!AA242=""),"",'Model inputs'!V240&gt;'Model inputs'!AA242))),1,0)</f>
        <v>1</v>
      </c>
      <c r="W238" s="22" t="n">
        <f aca="false">IF(IF(IF(ISERROR('Model inputs'!W240&gt;'Model inputs'!AA242),'Model inputs'!W240&gt;'Model inputs'!AA242,IF(OR('Model inputs'!W240="",'Model inputs'!AA242=""),"",'Model inputs'!W240&gt;'Model inputs'!AA242))="",FALSE(),IF(ISERROR('Model inputs'!W240&gt;'Model inputs'!AA242),'Model inputs'!W240&gt;'Model inputs'!AA242,IF(OR('Model inputs'!W240="",'Model inputs'!AA242=""),"",'Model inputs'!W240&gt;'Model inputs'!AA242))),1,0)</f>
        <v>1</v>
      </c>
      <c r="X238" s="22" t="n">
        <f aca="false">IF(IF(IF(ISERROR('Model inputs'!X240&gt;'Model inputs'!AA242),'Model inputs'!X240&gt;'Model inputs'!AA242,IF(OR('Model inputs'!X240="",'Model inputs'!AA242=""),"",'Model inputs'!X240&gt;'Model inputs'!AA242))="",FALSE(),IF(ISERROR('Model inputs'!X240&gt;'Model inputs'!AA242),'Model inputs'!X240&gt;'Model inputs'!AA242,IF(OR('Model inputs'!X240="",'Model inputs'!AA242=""),"",'Model inputs'!X240&gt;'Model inputs'!AA242))),1,0)</f>
        <v>1</v>
      </c>
      <c r="Y238" s="22" t="n">
        <f aca="false">IF(IF(IF(ISERROR('Model inputs'!Y240&gt;'Model inputs'!AA242),'Model inputs'!Y240&gt;'Model inputs'!AA242,IF(OR('Model inputs'!Y240="",'Model inputs'!AA242=""),"",'Model inputs'!Y240&gt;'Model inputs'!AA242))="",FALSE(),IF(ISERROR('Model inputs'!Y240&gt;'Model inputs'!AA242),'Model inputs'!Y240&gt;'Model inputs'!AA242,IF(OR('Model inputs'!Y240="",'Model inputs'!AA242=""),"",'Model inputs'!Y240&gt;'Model inputs'!AA242))),1,0)</f>
        <v>1</v>
      </c>
    </row>
    <row r="239" customFormat="false" ht="18" hidden="false" customHeight="false" outlineLevel="0" collapsed="false">
      <c r="A239" s="27" t="s">
        <v>431</v>
      </c>
      <c r="B239" s="22" t="n">
        <v>0</v>
      </c>
      <c r="C239" s="22" t="n">
        <v>0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2" t="n">
        <f aca="false">(('Model inputs'!K7*'Model inputs'!AA225+'Model inputs'!K147)*'Model inputs'!AA153+'Model inputs'!AA219*'Model inputs'!AA151)*'Model inputs'!AA13/'Model inputs'!AA243+'Model inputs'!K7*'Model inputs'!AA95</f>
        <v>56.5921052631579</v>
      </c>
      <c r="L239" s="22" t="n">
        <f aca="false">(('Model inputs'!L7*'Model inputs'!AA225+'Model inputs'!L147)*'Model inputs'!AA153+'Model inputs'!AA219*'Model inputs'!AA151)*'Model inputs'!AA13/'Model inputs'!AA243+'Model inputs'!L7*'Model inputs'!AA95</f>
        <v>61.9171052631579</v>
      </c>
      <c r="M239" s="22" t="n">
        <f aca="false">(('Model inputs'!M7*'Model inputs'!AA225+'Model inputs'!M147)*'Model inputs'!AA153+'Model inputs'!AA219*'Model inputs'!AA151)*'Model inputs'!AA13/'Model inputs'!AA243+'Model inputs'!M7*'Model inputs'!AA95</f>
        <v>66.9758552631579</v>
      </c>
      <c r="N239" s="22" t="n">
        <f aca="false">(('Model inputs'!N7*'Model inputs'!AA225+'Model inputs'!N147)*'Model inputs'!AA153+'Model inputs'!AA219*'Model inputs'!AA151)*'Model inputs'!AA13/'Model inputs'!AA243+'Model inputs'!N7*'Model inputs'!AA95</f>
        <v>71.7816677631579</v>
      </c>
      <c r="O239" s="22" t="n">
        <f aca="false">(('Model inputs'!O7*'Model inputs'!AA225+'Model inputs'!O147)*'Model inputs'!AA153+'Model inputs'!AA219*'Model inputs'!AA151)*'Model inputs'!AA13/'Model inputs'!AA243+'Model inputs'!O7*'Model inputs'!AA95</f>
        <v>76.3471896381579</v>
      </c>
      <c r="P239" s="22" t="n">
        <f aca="false">(('Model inputs'!P7*'Model inputs'!AA225+'Model inputs'!P147)*'Model inputs'!AA153+'Model inputs'!AA219*'Model inputs'!AA151)*'Model inputs'!AA13/'Model inputs'!AA243+'Model inputs'!P7*'Model inputs'!AA95</f>
        <v>80.6844354194079</v>
      </c>
      <c r="Q239" s="22" t="n">
        <f aca="false">(('Model inputs'!Q7*'Model inputs'!AA225+'Model inputs'!Q147)*'Model inputs'!AA153+'Model inputs'!AA219*'Model inputs'!AA151)*'Model inputs'!AA13/'Model inputs'!AA243+'Model inputs'!Q7*'Model inputs'!AA95</f>
        <v>84.8048189115954</v>
      </c>
      <c r="R239" s="22" t="n">
        <f aca="false">(('Model inputs'!R7*'Model inputs'!AA225+'Model inputs'!R147)*'Model inputs'!AA153+'Model inputs'!AA219*'Model inputs'!AA151)*'Model inputs'!AA13/'Model inputs'!AA243+'Model inputs'!R7*'Model inputs'!AA95</f>
        <v>88.7191832291735</v>
      </c>
      <c r="S239" s="22" t="n">
        <f aca="false">(('Model inputs'!S7*'Model inputs'!AA225+'Model inputs'!S147)*'Model inputs'!AA153+'Model inputs'!AA219*'Model inputs'!AA151)*'Model inputs'!AA13/'Model inputs'!AA243+'Model inputs'!S7*'Model inputs'!AA95</f>
        <v>92.4378293308727</v>
      </c>
      <c r="T239" s="22" t="n">
        <f aca="false">(('Model inputs'!T7*'Model inputs'!AA225+'Model inputs'!T147)*'Model inputs'!AA153+'Model inputs'!AA219*'Model inputs'!AA151)*'Model inputs'!AA13/'Model inputs'!AA243+'Model inputs'!T7*'Model inputs'!AA95</f>
        <v>95.970543127487</v>
      </c>
      <c r="U239" s="22" t="n">
        <f aca="false">(('Model inputs'!U7*'Model inputs'!AA225+'Model inputs'!U147)*'Model inputs'!AA153+'Model inputs'!AA219*'Model inputs'!AA151)*'Model inputs'!AA13/'Model inputs'!AA243+'Model inputs'!U7*'Model inputs'!AA95</f>
        <v>99.3266212342705</v>
      </c>
      <c r="V239" s="22" t="n">
        <f aca="false">(('Model inputs'!V7*'Model inputs'!AA225+'Model inputs'!V147)*'Model inputs'!AA153+'Model inputs'!AA219*'Model inputs'!AA151)*'Model inputs'!AA13/'Model inputs'!AA243+'Model inputs'!V7*'Model inputs'!AA95</f>
        <v>102.514895435715</v>
      </c>
      <c r="W239" s="22" t="n">
        <f aca="false">(('Model inputs'!W7*'Model inputs'!AA225+'Model inputs'!W147)*'Model inputs'!AA153+'Model inputs'!AA219*'Model inputs'!AA151)*'Model inputs'!AA13/'Model inputs'!AA243+'Model inputs'!W7*'Model inputs'!AA95</f>
        <v>105.543755927087</v>
      </c>
      <c r="X239" s="22" t="n">
        <f aca="false">(('Model inputs'!X7*'Model inputs'!AA225+'Model inputs'!X147)*'Model inputs'!AA153+'Model inputs'!AA219*'Model inputs'!AA151)*'Model inputs'!AA13/'Model inputs'!AA243+'Model inputs'!X7*'Model inputs'!AA95</f>
        <v>108.421173393891</v>
      </c>
      <c r="Y239" s="22" t="n">
        <f aca="false">(('Model inputs'!Y7*'Model inputs'!AA225+'Model inputs'!Y147)*'Model inputs'!AA153+'Model inputs'!AA219*'Model inputs'!AA151)*'Model inputs'!AA13/'Model inputs'!AA243+'Model inputs'!Y7*'Model inputs'!AA95</f>
        <v>111.154719987354</v>
      </c>
    </row>
    <row r="240" customFormat="false" ht="18" hidden="false" customHeight="false" outlineLevel="0" collapsed="false">
      <c r="A240" s="27" t="s">
        <v>432</v>
      </c>
      <c r="B240" s="22" t="n">
        <v>0</v>
      </c>
      <c r="C240" s="22" t="n">
        <v>0</v>
      </c>
      <c r="D240" s="22" t="n">
        <v>0</v>
      </c>
      <c r="E240" s="22" t="n">
        <v>0</v>
      </c>
      <c r="F240" s="22" t="n">
        <v>0</v>
      </c>
      <c r="G240" s="22" t="n">
        <v>0</v>
      </c>
      <c r="H240" s="22" t="n">
        <v>0</v>
      </c>
      <c r="I240" s="22" t="n">
        <v>0</v>
      </c>
      <c r="J240" s="22" t="n">
        <v>0</v>
      </c>
      <c r="K240" s="22" t="n">
        <f aca="false">(('Model inputs'!K8*'Model inputs'!AA226+'Model inputs'!K148)*'Model inputs'!AA154+'Model inputs'!AA220*'Model inputs'!AA152)*'Model inputs'!AA14/'Model inputs'!AA244+'Model inputs'!K8*'Model inputs'!AA96</f>
        <v>130.368421052632</v>
      </c>
      <c r="L240" s="22" t="n">
        <f aca="false">(('Model inputs'!L8*'Model inputs'!AA226+'Model inputs'!L148)*'Model inputs'!AA154+'Model inputs'!AA220*'Model inputs'!AA152)*'Model inputs'!AA14/'Model inputs'!AA244+'Model inputs'!L8*'Model inputs'!AA96</f>
        <v>183.403157894737</v>
      </c>
      <c r="M240" s="22" t="n">
        <f aca="false">(('Model inputs'!M8*'Model inputs'!AA226+'Model inputs'!M148)*'Model inputs'!AA154+'Model inputs'!AA220*'Model inputs'!AA152)*'Model inputs'!AA14/'Model inputs'!AA244+'Model inputs'!M8*'Model inputs'!AA96</f>
        <v>240.862463157895</v>
      </c>
      <c r="N240" s="22" t="n">
        <f aca="false">(('Model inputs'!N8*'Model inputs'!AA226+'Model inputs'!N148)*'Model inputs'!AA154+'Model inputs'!AA220*'Model inputs'!AA152)*'Model inputs'!AA14/'Model inputs'!AA244+'Model inputs'!N8*'Model inputs'!AA96</f>
        <v>303.206371789474</v>
      </c>
      <c r="O240" s="22" t="n">
        <f aca="false">(('Model inputs'!O8*'Model inputs'!AA226+'Model inputs'!O148)*'Model inputs'!AA154+'Model inputs'!AA220*'Model inputs'!AA152)*'Model inputs'!AA14/'Model inputs'!AA244+'Model inputs'!O8*'Model inputs'!AA96</f>
        <v>370.940570669474</v>
      </c>
      <c r="P240" s="22" t="n">
        <f aca="false">(('Model inputs'!P8*'Model inputs'!AA226+'Model inputs'!P148)*'Model inputs'!AA154+'Model inputs'!AA220*'Model inputs'!AA152)*'Model inputs'!AA14/'Model inputs'!AA244+'Model inputs'!P8*'Model inputs'!AA96</f>
        <v>444.620970835032</v>
      </c>
      <c r="Q240" s="22" t="n">
        <f aca="false">(('Model inputs'!Q8*'Model inputs'!AA226+'Model inputs'!Q148)*'Model inputs'!AA154+'Model inputs'!AA220*'Model inputs'!AA152)*'Model inputs'!AA14/'Model inputs'!AA244+'Model inputs'!Q8*'Model inputs'!AA96</f>
        <v>524.858736786752</v>
      </c>
      <c r="R240" s="22" t="n">
        <f aca="false">(('Model inputs'!R8*'Model inputs'!AA226+'Model inputs'!R148)*'Model inputs'!AA154+'Model inputs'!AA220*'Model inputs'!AA152)*'Model inputs'!AA14/'Model inputs'!AA244+'Model inputs'!R8*'Model inputs'!AA96</f>
        <v>612.325818587859</v>
      </c>
      <c r="S240" s="22" t="n">
        <f aca="false">(('Model inputs'!S8*'Model inputs'!AA226+'Model inputs'!S148)*'Model inputs'!AA154+'Model inputs'!AA220*'Model inputs'!AA152)*'Model inputs'!AA14/'Model inputs'!AA244+'Model inputs'!S8*'Model inputs'!AA96</f>
        <v>707.761037038208</v>
      </c>
      <c r="T240" s="22" t="n">
        <f aca="false">(('Model inputs'!T8*'Model inputs'!AA226+'Model inputs'!T148)*'Model inputs'!AA154+'Model inputs'!AA220*'Model inputs'!AA152)*'Model inputs'!AA14/'Model inputs'!AA244+'Model inputs'!T8*'Model inputs'!AA96</f>
        <v>811.976777233338</v>
      </c>
      <c r="U240" s="22" t="n">
        <f aca="false">(('Model inputs'!U8*'Model inputs'!AA226+'Model inputs'!U148)*'Model inputs'!AA154+'Model inputs'!AA220*'Model inputs'!AA152)*'Model inputs'!AA14/'Model inputs'!AA244+'Model inputs'!U8*'Model inputs'!AA96</f>
        <v>925.866351349735</v>
      </c>
      <c r="V240" s="22" t="n">
        <f aca="false">(('Model inputs'!V8*'Model inputs'!AA226+'Model inputs'!V148)*'Model inputs'!AA154+'Model inputs'!AA220*'Model inputs'!AA152)*'Model inputs'!AA14/'Model inputs'!AA244+'Model inputs'!V8*'Model inputs'!AA96</f>
        <v>1050.41209758149</v>
      </c>
      <c r="W240" s="22" t="n">
        <f aca="false">(('Model inputs'!W8*'Model inputs'!AA226+'Model inputs'!W148)*'Model inputs'!AA154+'Model inputs'!AA220*'Model inputs'!AA152)*'Model inputs'!AA14/'Model inputs'!AA244+'Model inputs'!W8*'Model inputs'!AA96</f>
        <v>1186.69428884606</v>
      </c>
      <c r="X240" s="22" t="n">
        <f aca="false">(('Model inputs'!X8*'Model inputs'!AA226+'Model inputs'!X148)*'Model inputs'!AA154+'Model inputs'!AA220*'Model inputs'!AA152)*'Model inputs'!AA14/'Model inputs'!AA244+'Model inputs'!X8*'Model inputs'!AA96</f>
        <v>1335.90093223854</v>
      </c>
      <c r="Y240" s="22" t="n">
        <f aca="false">(('Model inputs'!Y8*'Model inputs'!AA226+'Model inputs'!Y148)*'Model inputs'!AA154+'Model inputs'!AA220*'Model inputs'!AA152)*'Model inputs'!AA14/'Model inputs'!AA244+'Model inputs'!Y8*'Model inputs'!AA96</f>
        <v>1499.33854831169</v>
      </c>
    </row>
    <row r="241" customFormat="false" ht="18" hidden="false" customHeight="false" outlineLevel="0" collapsed="false">
      <c r="A241" s="27" t="s">
        <v>433</v>
      </c>
      <c r="AA241" s="22" t="n">
        <f aca="false">'Gainsay drivers · Gainsay fixed'!B13</f>
        <v>125</v>
      </c>
    </row>
    <row r="242" customFormat="false" ht="18" hidden="false" customHeight="false" outlineLevel="0" collapsed="false">
      <c r="A242" s="27" t="s">
        <v>434</v>
      </c>
      <c r="AA242" s="22" t="n">
        <f aca="false">'Gainsay drivers · Gainsay fixed'!B13</f>
        <v>125</v>
      </c>
    </row>
    <row r="243" customFormat="false" ht="18" hidden="false" customHeight="false" outlineLevel="0" collapsed="false">
      <c r="A243" s="27" t="s">
        <v>435</v>
      </c>
      <c r="AA243" s="22" t="n">
        <f aca="false">'Gainsay drivers · Gainsay fixed'!B32</f>
        <v>30.4</v>
      </c>
    </row>
    <row r="244" customFormat="false" ht="18" hidden="false" customHeight="false" outlineLevel="0" collapsed="false">
      <c r="A244" s="27" t="s">
        <v>436</v>
      </c>
      <c r="AA244" s="22" t="n">
        <f aca="false">'Gainsay drivers · Gainsay fixed'!B32</f>
        <v>30.4</v>
      </c>
    </row>
    <row r="246" customFormat="false" ht="18" hidden="false" customHeight="false" outlineLevel="0" collapsed="false">
      <c r="A246" s="26" t="s">
        <v>437</v>
      </c>
    </row>
    <row r="247" customFormat="false" ht="18" hidden="false" customHeight="false" outlineLevel="0" collapsed="false">
      <c r="A247" s="27" t="s">
        <v>438</v>
      </c>
      <c r="B247" s="0" t="b">
        <f aca="false">IF(ISERROR(DATE(2026,10,1)&lt;'Gainsay drivers · Gainsay prici'!B16),DATE(2026,10,1)&lt;'Gainsay drivers · Gainsay prici'!B16,IF('Gainsay drivers · Gainsay prici'!B16="","",DATE(2026,10,1)&lt;'Gainsay drivers · Gainsay prici'!B16))</f>
        <v>1</v>
      </c>
    </row>
    <row r="248" customFormat="false" ht="18" hidden="false" customHeight="false" outlineLevel="0" collapsed="false">
      <c r="A248" s="27" t="s">
        <v>438</v>
      </c>
      <c r="B248" s="0" t="b">
        <f aca="false">IF(IFERROR(DATE(2026,10,1)&gt;=DATE(2026,10,1)=FALSE(),FALSE()),FALSE(),IF(IFERROR(DATE(2026,10,1)&lt;=DATE(2027,12,1)=FALSE(),FALSE()),FALSE(),IF(IFERROR('Model inputs'!B247=FALSE(),FALSE()),FALSE(),IF('Model inputs'!B247="","",AND(DATE(2026,10,1)&gt;=DATE(2026,10,1),DATE(2026,10,1)&lt;=DATE(2027,12,1),'Model inputs'!B247)))))</f>
        <v>1</v>
      </c>
    </row>
    <row r="249" customFormat="false" ht="18" hidden="false" customHeight="false" outlineLevel="0" collapsed="false">
      <c r="A249" s="27" t="s">
        <v>438</v>
      </c>
      <c r="B249" s="0" t="b">
        <f aca="false">IF(ISERROR(DATE(2026,11,1)&lt;'Gainsay drivers · Gainsay prici'!B16),DATE(2026,11,1)&lt;'Gainsay drivers · Gainsay prici'!B16,IF('Gainsay drivers · Gainsay prici'!B16="","",DATE(2026,11,1)&lt;'Gainsay drivers · Gainsay prici'!B16))</f>
        <v>1</v>
      </c>
    </row>
    <row r="250" customFormat="false" ht="18" hidden="false" customHeight="false" outlineLevel="0" collapsed="false">
      <c r="A250" s="27" t="s">
        <v>438</v>
      </c>
      <c r="B250" s="0" t="b">
        <f aca="false">IF(IFERROR(DATE(2026,11,1)&gt;=DATE(2026,10,1)=FALSE(),FALSE()),FALSE(),IF(IFERROR(DATE(2026,11,1)&lt;=DATE(2027,12,1)=FALSE(),FALSE()),FALSE(),IF(IFERROR('Model inputs'!B249=FALSE(),FALSE()),FALSE(),IF('Model inputs'!B249="","",AND(DATE(2026,11,1)&gt;=DATE(2026,10,1),DATE(2026,11,1)&lt;=DATE(2027,12,1),'Model inputs'!B249)))))</f>
        <v>1</v>
      </c>
    </row>
    <row r="251" customFormat="false" ht="18" hidden="false" customHeight="false" outlineLevel="0" collapsed="false">
      <c r="A251" s="27" t="s">
        <v>438</v>
      </c>
      <c r="B251" s="0" t="b">
        <f aca="false">IF(ISERROR(DATE(2026,12,1)&lt;'Gainsay drivers · Gainsay prici'!B16),DATE(2026,12,1)&lt;'Gainsay drivers · Gainsay prici'!B16,IF('Gainsay drivers · Gainsay prici'!B16="","",DATE(2026,12,1)&lt;'Gainsay drivers · Gainsay prici'!B16))</f>
        <v>1</v>
      </c>
    </row>
    <row r="252" customFormat="false" ht="18" hidden="false" customHeight="false" outlineLevel="0" collapsed="false">
      <c r="A252" s="27" t="s">
        <v>438</v>
      </c>
      <c r="B252" s="0" t="b">
        <f aca="false">IF(IFERROR(DATE(2026,12,1)&gt;=DATE(2026,10,1)=FALSE(),FALSE()),FALSE(),IF(IFERROR(DATE(2026,12,1)&lt;=DATE(2027,12,1)=FALSE(),FALSE()),FALSE(),IF(IFERROR('Model inputs'!B251=FALSE(),FALSE()),FALSE(),IF('Model inputs'!B251="","",AND(DATE(2026,12,1)&gt;=DATE(2026,10,1),DATE(2026,12,1)&lt;=DATE(2027,12,1),'Model inputs'!B251)))))</f>
        <v>1</v>
      </c>
    </row>
    <row r="253" customFormat="false" ht="18" hidden="false" customHeight="false" outlineLevel="0" collapsed="false">
      <c r="A253" s="27" t="s">
        <v>438</v>
      </c>
      <c r="B253" s="0" t="b">
        <f aca="false">IF(ISERROR(DATE(2027,1,1)&lt;'Gainsay drivers · Gainsay prici'!B16),DATE(2027,1,1)&lt;'Gainsay drivers · Gainsay prici'!B16,IF('Gainsay drivers · Gainsay prici'!B16="","",DATE(2027,1,1)&lt;'Gainsay drivers · Gainsay prici'!B16))</f>
        <v>1</v>
      </c>
    </row>
    <row r="254" customFormat="false" ht="18" hidden="false" customHeight="false" outlineLevel="0" collapsed="false">
      <c r="A254" s="27" t="s">
        <v>438</v>
      </c>
      <c r="B254" s="0" t="b">
        <f aca="false">IF(IFERROR(DATE(2027,1,1)&gt;=DATE(2026,10,1)=FALSE(),FALSE()),FALSE(),IF(IFERROR(DATE(2027,1,1)&lt;=DATE(2027,12,1)=FALSE(),FALSE()),FALSE(),IF(IFERROR('Model inputs'!B253=FALSE(),FALSE()),FALSE(),IF('Model inputs'!B253="","",AND(DATE(2027,1,1)&gt;=DATE(2026,10,1),DATE(2027,1,1)&lt;=DATE(2027,12,1),'Model inputs'!B253)))))</f>
        <v>1</v>
      </c>
    </row>
    <row r="255" customFormat="false" ht="18" hidden="false" customHeight="false" outlineLevel="0" collapsed="false">
      <c r="A255" s="27" t="s">
        <v>438</v>
      </c>
      <c r="B255" s="0" t="b">
        <f aca="false">IF(ISERROR(DATE(2027,2,1)&lt;'Gainsay drivers · Gainsay prici'!B16),DATE(2027,2,1)&lt;'Gainsay drivers · Gainsay prici'!B16,IF('Gainsay drivers · Gainsay prici'!B16="","",DATE(2027,2,1)&lt;'Gainsay drivers · Gainsay prici'!B16))</f>
        <v>1</v>
      </c>
    </row>
    <row r="256" customFormat="false" ht="18" hidden="false" customHeight="false" outlineLevel="0" collapsed="false">
      <c r="A256" s="27" t="s">
        <v>438</v>
      </c>
      <c r="B256" s="0" t="b">
        <f aca="false">IF(IFERROR(DATE(2027,2,1)&gt;=DATE(2026,10,1)=FALSE(),FALSE()),FALSE(),IF(IFERROR(DATE(2027,2,1)&lt;=DATE(2027,12,1)=FALSE(),FALSE()),FALSE(),IF(IFERROR('Model inputs'!B255=FALSE(),FALSE()),FALSE(),IF('Model inputs'!B255="","",AND(DATE(2027,2,1)&gt;=DATE(2026,10,1),DATE(2027,2,1)&lt;=DATE(2027,12,1),'Model inputs'!B255)))))</f>
        <v>1</v>
      </c>
    </row>
    <row r="257" customFormat="false" ht="18" hidden="false" customHeight="false" outlineLevel="0" collapsed="false">
      <c r="A257" s="27" t="s">
        <v>438</v>
      </c>
      <c r="B257" s="0" t="b">
        <f aca="false">IF(ISERROR(DATE(2027,3,1)&lt;'Gainsay drivers · Gainsay prici'!B16),DATE(2027,3,1)&lt;'Gainsay drivers · Gainsay prici'!B16,IF('Gainsay drivers · Gainsay prici'!B16="","",DATE(2027,3,1)&lt;'Gainsay drivers · Gainsay prici'!B16))</f>
        <v>1</v>
      </c>
    </row>
    <row r="258" customFormat="false" ht="18" hidden="false" customHeight="false" outlineLevel="0" collapsed="false">
      <c r="A258" s="27" t="s">
        <v>438</v>
      </c>
      <c r="B258" s="0" t="b">
        <f aca="false">IF(IFERROR(DATE(2027,3,1)&gt;=DATE(2026,10,1)=FALSE(),FALSE()),FALSE(),IF(IFERROR(DATE(2027,3,1)&lt;=DATE(2027,12,1)=FALSE(),FALSE()),FALSE(),IF(IFERROR('Model inputs'!B257=FALSE(),FALSE()),FALSE(),IF('Model inputs'!B257="","",AND(DATE(2027,3,1)&gt;=DATE(2026,10,1),DATE(2027,3,1)&lt;=DATE(2027,12,1),'Model inputs'!B257)))))</f>
        <v>1</v>
      </c>
    </row>
    <row r="259" customFormat="false" ht="18" hidden="false" customHeight="false" outlineLevel="0" collapsed="false">
      <c r="A259" s="27" t="s">
        <v>438</v>
      </c>
      <c r="B259" s="0" t="b">
        <f aca="false">IF(ISERROR(DATE(2027,4,1)&lt;'Gainsay drivers · Gainsay prici'!B16),DATE(2027,4,1)&lt;'Gainsay drivers · Gainsay prici'!B16,IF('Gainsay drivers · Gainsay prici'!B16="","",DATE(2027,4,1)&lt;'Gainsay drivers · Gainsay prici'!B16))</f>
        <v>1</v>
      </c>
    </row>
    <row r="260" customFormat="false" ht="18" hidden="false" customHeight="false" outlineLevel="0" collapsed="false">
      <c r="A260" s="27" t="s">
        <v>438</v>
      </c>
      <c r="B260" s="0" t="b">
        <f aca="false">IF(IFERROR(DATE(2027,4,1)&gt;=DATE(2026,10,1)=FALSE(),FALSE()),FALSE(),IF(IFERROR(DATE(2027,4,1)&lt;=DATE(2027,12,1)=FALSE(),FALSE()),FALSE(),IF(IFERROR('Model inputs'!B259=FALSE(),FALSE()),FALSE(),IF('Model inputs'!B259="","",AND(DATE(2027,4,1)&gt;=DATE(2026,10,1),DATE(2027,4,1)&lt;=DATE(2027,12,1),'Model inputs'!B259)))))</f>
        <v>1</v>
      </c>
    </row>
    <row r="261" customFormat="false" ht="18" hidden="false" customHeight="false" outlineLevel="0" collapsed="false">
      <c r="A261" s="27" t="s">
        <v>438</v>
      </c>
      <c r="B261" s="0" t="b">
        <f aca="false">IF(ISERROR(DATE(2027,5,1)&lt;'Gainsay drivers · Gainsay prici'!B16),DATE(2027,5,1)&lt;'Gainsay drivers · Gainsay prici'!B16,IF('Gainsay drivers · Gainsay prici'!B16="","",DATE(2027,5,1)&lt;'Gainsay drivers · Gainsay prici'!B16))</f>
        <v>1</v>
      </c>
    </row>
    <row r="262" customFormat="false" ht="18" hidden="false" customHeight="false" outlineLevel="0" collapsed="false">
      <c r="A262" s="27" t="s">
        <v>438</v>
      </c>
      <c r="B262" s="0" t="b">
        <f aca="false">IF(IFERROR(DATE(2027,5,1)&gt;=DATE(2026,10,1)=FALSE(),FALSE()),FALSE(),IF(IFERROR(DATE(2027,5,1)&lt;=DATE(2027,12,1)=FALSE(),FALSE()),FALSE(),IF(IFERROR('Model inputs'!B261=FALSE(),FALSE()),FALSE(),IF('Model inputs'!B261="","",AND(DATE(2027,5,1)&gt;=DATE(2026,10,1),DATE(2027,5,1)&lt;=DATE(2027,12,1),'Model inputs'!B261)))))</f>
        <v>1</v>
      </c>
    </row>
    <row r="263" customFormat="false" ht="18" hidden="false" customHeight="false" outlineLevel="0" collapsed="false">
      <c r="A263" s="27" t="s">
        <v>438</v>
      </c>
      <c r="B263" s="0" t="b">
        <f aca="false">IF(ISERROR(DATE(2027,6,1)&lt;'Gainsay drivers · Gainsay prici'!B16),DATE(2027,6,1)&lt;'Gainsay drivers · Gainsay prici'!B16,IF('Gainsay drivers · Gainsay prici'!B16="","",DATE(2027,6,1)&lt;'Gainsay drivers · Gainsay prici'!B16))</f>
        <v>1</v>
      </c>
    </row>
    <row r="264" customFormat="false" ht="18" hidden="false" customHeight="false" outlineLevel="0" collapsed="false">
      <c r="A264" s="27" t="s">
        <v>438</v>
      </c>
      <c r="B264" s="0" t="b">
        <f aca="false">IF(IFERROR(DATE(2027,6,1)&gt;=DATE(2026,10,1)=FALSE(),FALSE()),FALSE(),IF(IFERROR(DATE(2027,6,1)&lt;=DATE(2027,12,1)=FALSE(),FALSE()),FALSE(),IF(IFERROR('Model inputs'!B263=FALSE(),FALSE()),FALSE(),IF('Model inputs'!B263="","",AND(DATE(2027,6,1)&gt;=DATE(2026,10,1),DATE(2027,6,1)&lt;=DATE(2027,12,1),'Model inputs'!B263)))))</f>
        <v>1</v>
      </c>
    </row>
    <row r="265" customFormat="false" ht="18" hidden="false" customHeight="false" outlineLevel="0" collapsed="false">
      <c r="A265" s="27" t="s">
        <v>438</v>
      </c>
      <c r="B265" s="0" t="b">
        <f aca="false">IF(ISERROR(DATE(2027,7,1)&lt;'Gainsay drivers · Gainsay prici'!B16),DATE(2027,7,1)&lt;'Gainsay drivers · Gainsay prici'!B16,IF('Gainsay drivers · Gainsay prici'!B16="","",DATE(2027,7,1)&lt;'Gainsay drivers · Gainsay prici'!B16))</f>
        <v>1</v>
      </c>
    </row>
    <row r="266" customFormat="false" ht="18" hidden="false" customHeight="false" outlineLevel="0" collapsed="false">
      <c r="A266" s="27" t="s">
        <v>438</v>
      </c>
      <c r="B266" s="0" t="b">
        <f aca="false">IF(IFERROR(DATE(2027,7,1)&gt;=DATE(2026,10,1)=FALSE(),FALSE()),FALSE(),IF(IFERROR(DATE(2027,7,1)&lt;=DATE(2027,12,1)=FALSE(),FALSE()),FALSE(),IF(IFERROR('Model inputs'!B265=FALSE(),FALSE()),FALSE(),IF('Model inputs'!B265="","",AND(DATE(2027,7,1)&gt;=DATE(2026,10,1),DATE(2027,7,1)&lt;=DATE(2027,12,1),'Model inputs'!B265)))))</f>
        <v>1</v>
      </c>
    </row>
    <row r="267" customFormat="false" ht="18" hidden="false" customHeight="false" outlineLevel="0" collapsed="false">
      <c r="A267" s="27" t="s">
        <v>438</v>
      </c>
      <c r="B267" s="0" t="b">
        <f aca="false">IF(ISERROR(DATE(2027,8,1)&lt;'Gainsay drivers · Gainsay prici'!B16),DATE(2027,8,1)&lt;'Gainsay drivers · Gainsay prici'!B16,IF('Gainsay drivers · Gainsay prici'!B16="","",DATE(2027,8,1)&lt;'Gainsay drivers · Gainsay prici'!B16))</f>
        <v>0</v>
      </c>
    </row>
    <row r="268" customFormat="false" ht="18" hidden="false" customHeight="false" outlineLevel="0" collapsed="false">
      <c r="A268" s="27" t="s">
        <v>438</v>
      </c>
      <c r="B268" s="0" t="b">
        <f aca="false">IF(IFERROR(DATE(2027,8,1)&gt;=DATE(2026,10,1)=FALSE(),FALSE()),FALSE(),IF(IFERROR(DATE(2027,8,1)&lt;=DATE(2027,12,1)=FALSE(),FALSE()),FALSE(),IF(IFERROR('Model inputs'!B267=FALSE(),FALSE()),FALSE(),IF('Model inputs'!B267="","",AND(DATE(2027,8,1)&gt;=DATE(2026,10,1),DATE(2027,8,1)&lt;=DATE(2027,12,1),'Model inputs'!B267)))))</f>
        <v>0</v>
      </c>
    </row>
    <row r="269" customFormat="false" ht="18" hidden="false" customHeight="false" outlineLevel="0" collapsed="false">
      <c r="A269" s="27" t="s">
        <v>438</v>
      </c>
      <c r="B269" s="0" t="b">
        <f aca="false">IF(ISERROR(DATE(2027,9,1)&lt;'Gainsay drivers · Gainsay prici'!B16),DATE(2027,9,1)&lt;'Gainsay drivers · Gainsay prici'!B16,IF('Gainsay drivers · Gainsay prici'!B16="","",DATE(2027,9,1)&lt;'Gainsay drivers · Gainsay prici'!B16))</f>
        <v>0</v>
      </c>
    </row>
    <row r="270" customFormat="false" ht="18" hidden="false" customHeight="false" outlineLevel="0" collapsed="false">
      <c r="A270" s="27" t="s">
        <v>438</v>
      </c>
      <c r="B270" s="0" t="b">
        <f aca="false">IF(IFERROR(DATE(2027,9,1)&gt;=DATE(2026,10,1)=FALSE(),FALSE()),FALSE(),IF(IFERROR(DATE(2027,9,1)&lt;=DATE(2027,12,1)=FALSE(),FALSE()),FALSE(),IF(IFERROR('Model inputs'!B269=FALSE(),FALSE()),FALSE(),IF('Model inputs'!B269="","",AND(DATE(2027,9,1)&gt;=DATE(2026,10,1),DATE(2027,9,1)&lt;=DATE(2027,12,1),'Model inputs'!B269)))))</f>
        <v>0</v>
      </c>
    </row>
    <row r="271" customFormat="false" ht="18" hidden="false" customHeight="false" outlineLevel="0" collapsed="false">
      <c r="A271" s="27" t="s">
        <v>438</v>
      </c>
      <c r="B271" s="0" t="b">
        <f aca="false">IF(ISERROR(DATE(2027,10,1)&lt;'Gainsay drivers · Gainsay prici'!B16),DATE(2027,10,1)&lt;'Gainsay drivers · Gainsay prici'!B16,IF('Gainsay drivers · Gainsay prici'!B16="","",DATE(2027,10,1)&lt;'Gainsay drivers · Gainsay prici'!B16))</f>
        <v>0</v>
      </c>
    </row>
    <row r="272" customFormat="false" ht="18" hidden="false" customHeight="false" outlineLevel="0" collapsed="false">
      <c r="A272" s="27" t="s">
        <v>438</v>
      </c>
      <c r="B272" s="0" t="b">
        <f aca="false">IF(IFERROR(DATE(2027,10,1)&gt;=DATE(2026,10,1)=FALSE(),FALSE()),FALSE(),IF(IFERROR(DATE(2027,10,1)&lt;=DATE(2027,12,1)=FALSE(),FALSE()),FALSE(),IF(IFERROR('Model inputs'!B271=FALSE(),FALSE()),FALSE(),IF('Model inputs'!B271="","",AND(DATE(2027,10,1)&gt;=DATE(2026,10,1),DATE(2027,10,1)&lt;=DATE(2027,12,1),'Model inputs'!B271)))))</f>
        <v>0</v>
      </c>
    </row>
    <row r="273" customFormat="false" ht="18" hidden="false" customHeight="false" outlineLevel="0" collapsed="false">
      <c r="A273" s="27" t="s">
        <v>438</v>
      </c>
      <c r="B273" s="0" t="b">
        <f aca="false">IF(ISERROR(DATE(2027,11,1)&lt;'Gainsay drivers · Gainsay prici'!B16),DATE(2027,11,1)&lt;'Gainsay drivers · Gainsay prici'!B16,IF('Gainsay drivers · Gainsay prici'!B16="","",DATE(2027,11,1)&lt;'Gainsay drivers · Gainsay prici'!B16))</f>
        <v>0</v>
      </c>
    </row>
    <row r="274" customFormat="false" ht="18" hidden="false" customHeight="false" outlineLevel="0" collapsed="false">
      <c r="A274" s="27" t="s">
        <v>438</v>
      </c>
      <c r="B274" s="0" t="b">
        <f aca="false">IF(IFERROR(DATE(2027,11,1)&gt;=DATE(2026,10,1)=FALSE(),FALSE()),FALSE(),IF(IFERROR(DATE(2027,11,1)&lt;=DATE(2027,12,1)=FALSE(),FALSE()),FALSE(),IF(IFERROR('Model inputs'!B273=FALSE(),FALSE()),FALSE(),IF('Model inputs'!B273="","",AND(DATE(2027,11,1)&gt;=DATE(2026,10,1),DATE(2027,11,1)&lt;=DATE(2027,12,1),'Model inputs'!B273)))))</f>
        <v>0</v>
      </c>
    </row>
    <row r="275" customFormat="false" ht="18" hidden="false" customHeight="false" outlineLevel="0" collapsed="false">
      <c r="A275" s="27" t="s">
        <v>438</v>
      </c>
      <c r="B275" s="0" t="b">
        <f aca="false">IF(ISERROR(DATE(2027,12,1)&lt;'Gainsay drivers · Gainsay prici'!B16),DATE(2027,12,1)&lt;'Gainsay drivers · Gainsay prici'!B16,IF('Gainsay drivers · Gainsay prici'!B16="","",DATE(2027,12,1)&lt;'Gainsay drivers · Gainsay prici'!B16))</f>
        <v>0</v>
      </c>
    </row>
    <row r="276" customFormat="false" ht="18" hidden="false" customHeight="false" outlineLevel="0" collapsed="false">
      <c r="A276" s="27" t="s">
        <v>438</v>
      </c>
      <c r="B276" s="0" t="b">
        <f aca="false">IF(IFERROR(DATE(2027,12,1)&gt;=DATE(2026,10,1)=FALSE(),FALSE()),FALSE(),IF(IFERROR(DATE(2027,12,1)&lt;=DATE(2027,12,1)=FALSE(),FALSE()),FALSE(),IF(IFERROR('Model inputs'!B275=FALSE(),FALSE()),FALSE(),IF('Model inputs'!B275="","",AND(DATE(2027,12,1)&gt;=DATE(2026,10,1),DATE(2027,12,1)&lt;=DATE(2027,12,1),'Model inputs'!B275)))))</f>
        <v>0</v>
      </c>
    </row>
    <row r="277" customFormat="false" ht="18" hidden="false" customHeight="false" outlineLevel="0" collapsed="false">
      <c r="A277" s="27" t="s">
        <v>438</v>
      </c>
      <c r="B277" s="0" t="b">
        <f aca="false">IF(ISERROR(DATE(2026,1,1)&lt;'Gainsay drivers · Gainsay prici'!B16),DATE(2026,1,1)&lt;'Gainsay drivers · Gainsay prici'!B16,IF('Gainsay drivers · Gainsay prici'!B16="","",DATE(2026,1,1)&lt;'Gainsay drivers · Gainsay prici'!B16))</f>
        <v>1</v>
      </c>
    </row>
    <row r="278" customFormat="false" ht="18" hidden="false" customHeight="false" outlineLevel="0" collapsed="false">
      <c r="A278" s="27" t="s">
        <v>438</v>
      </c>
      <c r="B278" s="0" t="b">
        <f aca="false">IF(IFERROR(DATE(2026,1,1)&gt;=DATE(2026,10,1)=FALSE(),FALSE()),FALSE(),IF(IFERROR(DATE(2026,1,1)&lt;=DATE(2027,12,1)=FALSE(),FALSE()),FALSE(),IF(IFERROR('Model inputs'!B277=FALSE(),FALSE()),FALSE(),IF('Model inputs'!B277="","",AND(DATE(2026,1,1)&gt;=DATE(2026,10,1),DATE(2026,1,1)&lt;=DATE(2027,12,1),'Model inputs'!B277)))))</f>
        <v>0</v>
      </c>
    </row>
    <row r="279" customFormat="false" ht="18" hidden="false" customHeight="false" outlineLevel="0" collapsed="false">
      <c r="A279" s="27" t="s">
        <v>438</v>
      </c>
      <c r="B279" s="0" t="b">
        <f aca="false">IF(ISERROR(DATE(2026,2,1)&lt;'Gainsay drivers · Gainsay prici'!B16),DATE(2026,2,1)&lt;'Gainsay drivers · Gainsay prici'!B16,IF('Gainsay drivers · Gainsay prici'!B16="","",DATE(2026,2,1)&lt;'Gainsay drivers · Gainsay prici'!B16))</f>
        <v>1</v>
      </c>
    </row>
    <row r="280" customFormat="false" ht="18" hidden="false" customHeight="false" outlineLevel="0" collapsed="false">
      <c r="A280" s="27" t="s">
        <v>438</v>
      </c>
      <c r="B280" s="0" t="b">
        <f aca="false">IF(IFERROR(DATE(2026,2,1)&gt;=DATE(2026,10,1)=FALSE(),FALSE()),FALSE(),IF(IFERROR(DATE(2026,2,1)&lt;=DATE(2027,12,1)=FALSE(),FALSE()),FALSE(),IF(IFERROR('Model inputs'!B279=FALSE(),FALSE()),FALSE(),IF('Model inputs'!B279="","",AND(DATE(2026,2,1)&gt;=DATE(2026,10,1),DATE(2026,2,1)&lt;=DATE(2027,12,1),'Model inputs'!B279)))))</f>
        <v>0</v>
      </c>
    </row>
    <row r="281" customFormat="false" ht="18" hidden="false" customHeight="false" outlineLevel="0" collapsed="false">
      <c r="A281" s="27" t="s">
        <v>438</v>
      </c>
      <c r="B281" s="0" t="b">
        <f aca="false">IF(ISERROR(DATE(2026,3,1)&lt;'Gainsay drivers · Gainsay prici'!B16),DATE(2026,3,1)&lt;'Gainsay drivers · Gainsay prici'!B16,IF('Gainsay drivers · Gainsay prici'!B16="","",DATE(2026,3,1)&lt;'Gainsay drivers · Gainsay prici'!B16))</f>
        <v>1</v>
      </c>
    </row>
    <row r="282" customFormat="false" ht="18" hidden="false" customHeight="false" outlineLevel="0" collapsed="false">
      <c r="A282" s="27" t="s">
        <v>438</v>
      </c>
      <c r="B282" s="0" t="b">
        <f aca="false">IF(IFERROR(DATE(2026,3,1)&gt;=DATE(2026,10,1)=FALSE(),FALSE()),FALSE(),IF(IFERROR(DATE(2026,3,1)&lt;=DATE(2027,12,1)=FALSE(),FALSE()),FALSE(),IF(IFERROR('Model inputs'!B281=FALSE(),FALSE()),FALSE(),IF('Model inputs'!B281="","",AND(DATE(2026,3,1)&gt;=DATE(2026,10,1),DATE(2026,3,1)&lt;=DATE(2027,12,1),'Model inputs'!B281)))))</f>
        <v>0</v>
      </c>
    </row>
    <row r="283" customFormat="false" ht="18" hidden="false" customHeight="false" outlineLevel="0" collapsed="false">
      <c r="A283" s="27" t="s">
        <v>438</v>
      </c>
      <c r="B283" s="0" t="b">
        <f aca="false">IF(ISERROR(DATE(2026,4,1)&lt;'Gainsay drivers · Gainsay prici'!B16),DATE(2026,4,1)&lt;'Gainsay drivers · Gainsay prici'!B16,IF('Gainsay drivers · Gainsay prici'!B16="","",DATE(2026,4,1)&lt;'Gainsay drivers · Gainsay prici'!B16))</f>
        <v>1</v>
      </c>
    </row>
    <row r="284" customFormat="false" ht="18" hidden="false" customHeight="false" outlineLevel="0" collapsed="false">
      <c r="A284" s="27" t="s">
        <v>438</v>
      </c>
      <c r="B284" s="0" t="b">
        <f aca="false">IF(IFERROR(DATE(2026,4,1)&gt;=DATE(2026,10,1)=FALSE(),FALSE()),FALSE(),IF(IFERROR(DATE(2026,4,1)&lt;=DATE(2027,12,1)=FALSE(),FALSE()),FALSE(),IF(IFERROR('Model inputs'!B283=FALSE(),FALSE()),FALSE(),IF('Model inputs'!B283="","",AND(DATE(2026,4,1)&gt;=DATE(2026,10,1),DATE(2026,4,1)&lt;=DATE(2027,12,1),'Model inputs'!B283)))))</f>
        <v>0</v>
      </c>
    </row>
    <row r="285" customFormat="false" ht="18" hidden="false" customHeight="false" outlineLevel="0" collapsed="false">
      <c r="A285" s="27" t="s">
        <v>438</v>
      </c>
      <c r="B285" s="0" t="b">
        <f aca="false">IF(ISERROR(DATE(2026,5,1)&lt;'Gainsay drivers · Gainsay prici'!B16),DATE(2026,5,1)&lt;'Gainsay drivers · Gainsay prici'!B16,IF('Gainsay drivers · Gainsay prici'!B16="","",DATE(2026,5,1)&lt;'Gainsay drivers · Gainsay prici'!B16))</f>
        <v>1</v>
      </c>
    </row>
    <row r="286" customFormat="false" ht="18" hidden="false" customHeight="false" outlineLevel="0" collapsed="false">
      <c r="A286" s="27" t="s">
        <v>438</v>
      </c>
      <c r="B286" s="0" t="b">
        <f aca="false">IF(IFERROR(DATE(2026,5,1)&gt;=DATE(2026,10,1)=FALSE(),FALSE()),FALSE(),IF(IFERROR(DATE(2026,5,1)&lt;=DATE(2027,12,1)=FALSE(),FALSE()),FALSE(),IF(IFERROR('Model inputs'!B285=FALSE(),FALSE()),FALSE(),IF('Model inputs'!B285="","",AND(DATE(2026,5,1)&gt;=DATE(2026,10,1),DATE(2026,5,1)&lt;=DATE(2027,12,1),'Model inputs'!B285)))))</f>
        <v>0</v>
      </c>
    </row>
    <row r="287" customFormat="false" ht="18" hidden="false" customHeight="false" outlineLevel="0" collapsed="false">
      <c r="A287" s="27" t="s">
        <v>438</v>
      </c>
      <c r="B287" s="0" t="b">
        <f aca="false">IF(ISERROR(DATE(2026,6,1)&lt;'Gainsay drivers · Gainsay prici'!B16),DATE(2026,6,1)&lt;'Gainsay drivers · Gainsay prici'!B16,IF('Gainsay drivers · Gainsay prici'!B16="","",DATE(2026,6,1)&lt;'Gainsay drivers · Gainsay prici'!B16))</f>
        <v>1</v>
      </c>
    </row>
    <row r="288" customFormat="false" ht="18" hidden="false" customHeight="false" outlineLevel="0" collapsed="false">
      <c r="A288" s="27" t="s">
        <v>438</v>
      </c>
      <c r="B288" s="0" t="b">
        <f aca="false">IF(IFERROR(DATE(2026,6,1)&gt;=DATE(2026,10,1)=FALSE(),FALSE()),FALSE(),IF(IFERROR(DATE(2026,6,1)&lt;=DATE(2027,12,1)=FALSE(),FALSE()),FALSE(),IF(IFERROR('Model inputs'!B287=FALSE(),FALSE()),FALSE(),IF('Model inputs'!B287="","",AND(DATE(2026,6,1)&gt;=DATE(2026,10,1),DATE(2026,6,1)&lt;=DATE(2027,12,1),'Model inputs'!B287)))))</f>
        <v>0</v>
      </c>
    </row>
    <row r="289" customFormat="false" ht="18" hidden="false" customHeight="false" outlineLevel="0" collapsed="false">
      <c r="A289" s="27" t="s">
        <v>438</v>
      </c>
      <c r="B289" s="0" t="b">
        <f aca="false">IF(ISERROR(DATE(2026,7,1)&lt;'Gainsay drivers · Gainsay prici'!B16),DATE(2026,7,1)&lt;'Gainsay drivers · Gainsay prici'!B16,IF('Gainsay drivers · Gainsay prici'!B16="","",DATE(2026,7,1)&lt;'Gainsay drivers · Gainsay prici'!B16))</f>
        <v>1</v>
      </c>
    </row>
    <row r="290" customFormat="false" ht="18" hidden="false" customHeight="false" outlineLevel="0" collapsed="false">
      <c r="A290" s="27" t="s">
        <v>438</v>
      </c>
      <c r="B290" s="0" t="b">
        <f aca="false">IF(IFERROR(DATE(2026,7,1)&gt;=DATE(2026,10,1)=FALSE(),FALSE()),FALSE(),IF(IFERROR(DATE(2026,7,1)&lt;=DATE(2027,12,1)=FALSE(),FALSE()),FALSE(),IF(IFERROR('Model inputs'!B289=FALSE(),FALSE()),FALSE(),IF('Model inputs'!B289="","",AND(DATE(2026,7,1)&gt;=DATE(2026,10,1),DATE(2026,7,1)&lt;=DATE(2027,12,1),'Model inputs'!B289)))))</f>
        <v>0</v>
      </c>
    </row>
    <row r="291" customFormat="false" ht="18" hidden="false" customHeight="false" outlineLevel="0" collapsed="false">
      <c r="A291" s="27" t="s">
        <v>438</v>
      </c>
      <c r="B291" s="0" t="b">
        <f aca="false">IF(ISERROR(DATE(2026,8,1)&lt;'Gainsay drivers · Gainsay prici'!B16),DATE(2026,8,1)&lt;'Gainsay drivers · Gainsay prici'!B16,IF('Gainsay drivers · Gainsay prici'!B16="","",DATE(2026,8,1)&lt;'Gainsay drivers · Gainsay prici'!B16))</f>
        <v>1</v>
      </c>
    </row>
    <row r="292" customFormat="false" ht="18" hidden="false" customHeight="false" outlineLevel="0" collapsed="false">
      <c r="A292" s="27" t="s">
        <v>438</v>
      </c>
      <c r="B292" s="0" t="b">
        <f aca="false">IF(IFERROR(DATE(2026,8,1)&gt;=DATE(2026,10,1)=FALSE(),FALSE()),FALSE(),IF(IFERROR(DATE(2026,8,1)&lt;=DATE(2027,12,1)=FALSE(),FALSE()),FALSE(),IF(IFERROR('Model inputs'!B291=FALSE(),FALSE()),FALSE(),IF('Model inputs'!B291="","",AND(DATE(2026,8,1)&gt;=DATE(2026,10,1),DATE(2026,8,1)&lt;=DATE(2027,12,1),'Model inputs'!B291)))))</f>
        <v>0</v>
      </c>
    </row>
    <row r="293" customFormat="false" ht="18" hidden="false" customHeight="false" outlineLevel="0" collapsed="false">
      <c r="A293" s="27" t="s">
        <v>438</v>
      </c>
      <c r="B293" s="0" t="b">
        <f aca="false">IF(ISERROR(DATE(2026,9,1)&lt;'Gainsay drivers · Gainsay prici'!B16),DATE(2026,9,1)&lt;'Gainsay drivers · Gainsay prici'!B16,IF('Gainsay drivers · Gainsay prici'!B16="","",DATE(2026,9,1)&lt;'Gainsay drivers · Gainsay prici'!B16))</f>
        <v>1</v>
      </c>
    </row>
    <row r="294" customFormat="false" ht="18" hidden="false" customHeight="false" outlineLevel="0" collapsed="false">
      <c r="A294" s="27" t="s">
        <v>438</v>
      </c>
      <c r="B294" s="0" t="b">
        <f aca="false">IF(IFERROR(DATE(2026,9,1)&gt;=DATE(2026,10,1)=FALSE(),FALSE()),FALSE(),IF(IFERROR(DATE(2026,9,1)&lt;=DATE(2027,12,1)=FALSE(),FALSE()),FALSE(),IF(IFERROR('Model inputs'!B293=FALSE(),FALSE()),FALSE(),IF('Model inputs'!B293="","",AND(DATE(2026,9,1)&gt;=DATE(2026,10,1),DATE(2026,9,1)&lt;=DATE(2027,12,1),'Model inputs'!B293)))))</f>
        <v>0</v>
      </c>
    </row>
    <row r="295" customFormat="false" ht="18" hidden="false" customHeight="false" outlineLevel="0" collapsed="false">
      <c r="A295" s="27" t="s">
        <v>438</v>
      </c>
      <c r="B295" s="0" t="n">
        <f aca="false">SUM(IF(IF(IF('Model inputs'!B248="",FALSE(),'Model inputs'!B248),'Gainsay economics · Gainsay ope'!B11,"")="",0,IF(IF('Model inputs'!B248="",FALSE(),'Model inputs'!B248),'Gainsay economics · Gainsay ope'!B11,"")),IF(IF(IF('Model inputs'!B250="",FALSE(),'Model inputs'!B250),'Gainsay economics · Gainsay ope'!C11,"")="",0,IF(IF('Model inputs'!B250="",FALSE(),'Model inputs'!B250),'Gainsay economics · Gainsay ope'!C11,"")),IF(IF(IF('Model inputs'!B252="",FALSE(),'Model inputs'!B252),'Gainsay economics · Gainsay ope'!D11,"")="",0,IF(IF('Model inputs'!B252="",FALSE(),'Model inputs'!B252),'Gainsay economics · Gainsay ope'!D11,"")),IF(IF(IF('Model inputs'!B254="",FALSE(),'Model inputs'!B254),'Gainsay economics · Gainsay ope'!E11,"")="",0,IF(IF('Model inputs'!B254="",FALSE(),'Model inputs'!B254),'Gainsay economics · Gainsay ope'!E11,"")),IF(IF(IF('Model inputs'!B256="",FALSE(),'Model inputs'!B256),'Gainsay economics · Gainsay ope'!F11,"")="",0,IF(IF('Model inputs'!B256="",FALSE(),'Model inputs'!B256),'Gainsay economics · Gainsay ope'!F11,"")),IF(IF(IF('Model inputs'!B258="",FALSE(),'Model inputs'!B258),'Gainsay economics · Gainsay ope'!G11,"")="",0,IF(IF('Model inputs'!B258="",FALSE(),'Model inputs'!B258),'Gainsay economics · Gainsay ope'!G11,"")),IF(IF(IF('Model inputs'!B260="",FALSE(),'Model inputs'!B260),'Gainsay economics · Gainsay ope'!H11,"")="",0,IF(IF('Model inputs'!B260="",FALSE(),'Model inputs'!B260),'Gainsay economics · Gainsay ope'!H11,"")),IF(IF(IF('Model inputs'!B262="",FALSE(),'Model inputs'!B262),'Gainsay economics · Gainsay ope'!I11,"")="",0,IF(IF('Model inputs'!B262="",FALSE(),'Model inputs'!B262),'Gainsay economics · Gainsay ope'!I11,"")),IF(IF(IF('Model inputs'!B264="",FALSE(),'Model inputs'!B264),'Gainsay economics · Gainsay ope'!J11,"")="",0,IF(IF('Model inputs'!B264="",FALSE(),'Model inputs'!B264),'Gainsay economics · Gainsay ope'!J11,"")),IF(IF(IF('Model inputs'!B266="",FALSE(),'Model inputs'!B266),'Gainsay economics · Gainsay ope'!K11,"")="",0,IF(IF('Model inputs'!B266="",FALSE(),'Model inputs'!B266),'Gainsay economics · Gainsay ope'!K11,"")),IF(IF(IF('Model inputs'!B268="",FALSE(),'Model inputs'!B268),'Gainsay economics · Gainsay ope'!L11,"")="",0,IF(IF('Model inputs'!B268="",FALSE(),'Model inputs'!B268),'Gainsay economics · Gainsay ope'!L11,"")),IF(IF(IF('Model inputs'!B270="",FALSE(),'Model inputs'!B270),'Gainsay economics · Gainsay ope'!M11,"")="",0,IF(IF('Model inputs'!B270="",FALSE(),'Model inputs'!B270),'Gainsay economics · Gainsay ope'!M11,"")),IF(IF(IF('Model inputs'!B272="",FALSE(),'Model inputs'!B272),'Gainsay economics · Gainsay ope'!N11,"")="",0,IF(IF('Model inputs'!B272="",FALSE(),'Model inputs'!B272),'Gainsay economics · Gainsay ope'!N11,"")),IF(IF(IF('Model inputs'!B274="",FALSE(),'Model inputs'!B274),'Gainsay economics · Gainsay ope'!O11,"")="",0,IF(IF('Model inputs'!B274="",FALSE(),'Model inputs'!B274),'Gainsay economics · Gainsay ope'!O11,"")),IF(IF(IF('Model inputs'!B276="",FALSE(),'Model inputs'!B276),'Gainsay economics · Gainsay ope'!P11,"")="",0,IF(IF('Model inputs'!B276="",FALSE(),'Model inputs'!B276),'Gainsay economics · Gainsay ope'!P11,"")),IF(IF(IF('Model inputs'!B278="",FALSE(),'Model inputs'!B278),'Model inputs'!B72,"")="",0,IF(IF('Model inputs'!B278="",FALSE(),'Model inputs'!B278),'Model inputs'!B72,"")),IF(IF(IF('Model inputs'!B280="",FALSE(),'Model inputs'!B280),'Model inputs'!C72,"")="",0,IF(IF('Model inputs'!B280="",FALSE(),'Model inputs'!B280),'Model inputs'!C72,"")),IF(IF(IF('Model inputs'!B282="",FALSE(),'Model inputs'!B282),'Model inputs'!D72,"")="",0,IF(IF('Model inputs'!B282="",FALSE(),'Model inputs'!B282),'Model inputs'!D72,"")),IF(IF(IF('Model inputs'!B284="",FALSE(),'Model inputs'!B284),'Model inputs'!E72,"")="",0,IF(IF('Model inputs'!B284="",FALSE(),'Model inputs'!B284),'Model inputs'!E72,"")),IF(IF(IF('Model inputs'!B286="",FALSE(),'Model inputs'!B286),'Model inputs'!F72,"")="",0,IF(IF('Model inputs'!B286="",FALSE(),'Model inputs'!B286),'Model inputs'!F72,"")),IF(IF(IF('Model inputs'!B288="",FALSE(),'Model inputs'!B288),'Model inputs'!G72,"")="",0,IF(IF('Model inputs'!B288="",FALSE(),'Model inputs'!B288),'Model inputs'!G72,"")),IF(IF(IF('Model inputs'!B290="",FALSE(),'Model inputs'!B290),'Model inputs'!H72,"")="",0,IF(IF('Model inputs'!B290="",FALSE(),'Model inputs'!B290),'Model inputs'!H72,"")),IF(IF(IF('Model inputs'!B292="",FALSE(),'Model inputs'!B292),'Model inputs'!I72,"")="",0,IF(IF('Model inputs'!B292="",FALSE(),'Model inputs'!B292),'Model inputs'!I72,"")),IF(IF(IF('Model inputs'!B294="",FALSE(),'Model inputs'!B294),'Model inputs'!J72,"")="",0,IF(IF('Model inputs'!B294="",FALSE(),'Model inputs'!B294),'Model inputs'!J72,"")))</f>
        <v>-4553.19901774236</v>
      </c>
    </row>
    <row r="296" customFormat="false" ht="18" hidden="false" customHeight="false" outlineLevel="0" collapsed="false">
      <c r="A296" s="27" t="s">
        <v>438</v>
      </c>
      <c r="B296" s="0" t="b">
        <f aca="false">IF(ISERROR('Gainsay economics · Gainsay ope'!B11&gt;0),'Gainsay economics · Gainsay ope'!B11&gt;0,IF('Gainsay economics · Gainsay ope'!B11="","",'Gainsay economics · Gainsay ope'!B11&gt;0))</f>
        <v>0</v>
      </c>
    </row>
    <row r="297" customFormat="false" ht="18" hidden="false" customHeight="false" outlineLevel="0" collapsed="false">
      <c r="A297" s="27" t="s">
        <v>438</v>
      </c>
      <c r="B297" s="0" t="b">
        <f aca="false">IF(IFERROR(DATE(2026,10,1)&gt;=DATE(2026,10,1)=FALSE(),FALSE()),FALSE(),IF(IFERROR(DATE(2026,10,1)&lt;=DATE(2027,12,1)=FALSE(),FALSE()),FALSE(),IF(IFERROR('Model inputs'!B296=FALSE(),FALSE()),FALSE(),IF('Model inputs'!B296="","",AND(DATE(2026,10,1)&gt;=DATE(2026,10,1),DATE(2026,10,1)&lt;=DATE(2027,12,1),'Model inputs'!B296)))))</f>
        <v>0</v>
      </c>
    </row>
    <row r="298" customFormat="false" ht="18" hidden="false" customHeight="false" outlineLevel="0" collapsed="false">
      <c r="A298" s="27" t="s">
        <v>438</v>
      </c>
      <c r="B298" s="0" t="b">
        <f aca="false">IF(ISERROR('Gainsay economics · Gainsay ope'!C11&gt;0),'Gainsay economics · Gainsay ope'!C11&gt;0,IF('Gainsay economics · Gainsay ope'!C11="","",'Gainsay economics · Gainsay ope'!C11&gt;0))</f>
        <v>0</v>
      </c>
    </row>
    <row r="299" customFormat="false" ht="18" hidden="false" customHeight="false" outlineLevel="0" collapsed="false">
      <c r="A299" s="27" t="s">
        <v>438</v>
      </c>
      <c r="B299" s="0" t="b">
        <f aca="false">IF(IFERROR(DATE(2026,11,1)&gt;=DATE(2026,10,1)=FALSE(),FALSE()),FALSE(),IF(IFERROR(DATE(2026,11,1)&lt;=DATE(2027,12,1)=FALSE(),FALSE()),FALSE(),IF(IFERROR('Model inputs'!B298=FALSE(),FALSE()),FALSE(),IF('Model inputs'!B298="","",AND(DATE(2026,11,1)&gt;=DATE(2026,10,1),DATE(2026,11,1)&lt;=DATE(2027,12,1),'Model inputs'!B298)))))</f>
        <v>0</v>
      </c>
    </row>
    <row r="300" customFormat="false" ht="18" hidden="false" customHeight="false" outlineLevel="0" collapsed="false">
      <c r="A300" s="27" t="s">
        <v>438</v>
      </c>
      <c r="B300" s="0" t="b">
        <f aca="false">IF(ISERROR('Gainsay economics · Gainsay ope'!D11&gt;0),'Gainsay economics · Gainsay ope'!D11&gt;0,IF('Gainsay economics · Gainsay ope'!D11="","",'Gainsay economics · Gainsay ope'!D11&gt;0))</f>
        <v>0</v>
      </c>
    </row>
    <row r="301" customFormat="false" ht="18" hidden="false" customHeight="false" outlineLevel="0" collapsed="false">
      <c r="A301" s="27" t="s">
        <v>438</v>
      </c>
      <c r="B301" s="0" t="b">
        <f aca="false">IF(IFERROR(DATE(2026,12,1)&gt;=DATE(2026,10,1)=FALSE(),FALSE()),FALSE(),IF(IFERROR(DATE(2026,12,1)&lt;=DATE(2027,12,1)=FALSE(),FALSE()),FALSE(),IF(IFERROR('Model inputs'!B300=FALSE(),FALSE()),FALSE(),IF('Model inputs'!B300="","",AND(DATE(2026,12,1)&gt;=DATE(2026,10,1),DATE(2026,12,1)&lt;=DATE(2027,12,1),'Model inputs'!B300)))))</f>
        <v>0</v>
      </c>
    </row>
    <row r="302" customFormat="false" ht="18" hidden="false" customHeight="false" outlineLevel="0" collapsed="false">
      <c r="A302" s="27" t="s">
        <v>438</v>
      </c>
      <c r="B302" s="0" t="b">
        <f aca="false">IF(ISERROR('Gainsay economics · Gainsay ope'!E11&gt;0),'Gainsay economics · Gainsay ope'!E11&gt;0,IF('Gainsay economics · Gainsay ope'!E11="","",'Gainsay economics · Gainsay ope'!E11&gt;0))</f>
        <v>0</v>
      </c>
    </row>
    <row r="303" customFormat="false" ht="18" hidden="false" customHeight="false" outlineLevel="0" collapsed="false">
      <c r="A303" s="27" t="s">
        <v>438</v>
      </c>
      <c r="B303" s="0" t="b">
        <f aca="false">IF(IFERROR(DATE(2027,1,1)&gt;=DATE(2026,10,1)=FALSE(),FALSE()),FALSE(),IF(IFERROR(DATE(2027,1,1)&lt;=DATE(2027,12,1)=FALSE(),FALSE()),FALSE(),IF(IFERROR('Model inputs'!B302=FALSE(),FALSE()),FALSE(),IF('Model inputs'!B302="","",AND(DATE(2027,1,1)&gt;=DATE(2026,10,1),DATE(2027,1,1)&lt;=DATE(2027,12,1),'Model inputs'!B302)))))</f>
        <v>0</v>
      </c>
    </row>
    <row r="304" customFormat="false" ht="18" hidden="false" customHeight="false" outlineLevel="0" collapsed="false">
      <c r="A304" s="27" t="s">
        <v>438</v>
      </c>
      <c r="B304" s="0" t="b">
        <f aca="false">IF(ISERROR('Gainsay economics · Gainsay ope'!F11&gt;0),'Gainsay economics · Gainsay ope'!F11&gt;0,IF('Gainsay economics · Gainsay ope'!F11="","",'Gainsay economics · Gainsay ope'!F11&gt;0))</f>
        <v>0</v>
      </c>
    </row>
    <row r="305" customFormat="false" ht="18" hidden="false" customHeight="false" outlineLevel="0" collapsed="false">
      <c r="A305" s="27" t="s">
        <v>438</v>
      </c>
      <c r="B305" s="0" t="b">
        <f aca="false">IF(IFERROR(DATE(2027,2,1)&gt;=DATE(2026,10,1)=FALSE(),FALSE()),FALSE(),IF(IFERROR(DATE(2027,2,1)&lt;=DATE(2027,12,1)=FALSE(),FALSE()),FALSE(),IF(IFERROR('Model inputs'!B304=FALSE(),FALSE()),FALSE(),IF('Model inputs'!B304="","",AND(DATE(2027,2,1)&gt;=DATE(2026,10,1),DATE(2027,2,1)&lt;=DATE(2027,12,1),'Model inputs'!B304)))))</f>
        <v>0</v>
      </c>
    </row>
    <row r="306" customFormat="false" ht="18" hidden="false" customHeight="false" outlineLevel="0" collapsed="false">
      <c r="A306" s="27" t="s">
        <v>438</v>
      </c>
      <c r="B306" s="0" t="b">
        <f aca="false">IF(ISERROR('Gainsay economics · Gainsay ope'!G11&gt;0),'Gainsay economics · Gainsay ope'!G11&gt;0,IF('Gainsay economics · Gainsay ope'!G11="","",'Gainsay economics · Gainsay ope'!G11&gt;0))</f>
        <v>0</v>
      </c>
    </row>
    <row r="307" customFormat="false" ht="18" hidden="false" customHeight="false" outlineLevel="0" collapsed="false">
      <c r="A307" s="27" t="s">
        <v>438</v>
      </c>
      <c r="B307" s="0" t="b">
        <f aca="false">IF(IFERROR(DATE(2027,3,1)&gt;=DATE(2026,10,1)=FALSE(),FALSE()),FALSE(),IF(IFERROR(DATE(2027,3,1)&lt;=DATE(2027,12,1)=FALSE(),FALSE()),FALSE(),IF(IFERROR('Model inputs'!B306=FALSE(),FALSE()),FALSE(),IF('Model inputs'!B306="","",AND(DATE(2027,3,1)&gt;=DATE(2026,10,1),DATE(2027,3,1)&lt;=DATE(2027,12,1),'Model inputs'!B306)))))</f>
        <v>0</v>
      </c>
    </row>
    <row r="308" customFormat="false" ht="18" hidden="false" customHeight="false" outlineLevel="0" collapsed="false">
      <c r="A308" s="27" t="s">
        <v>438</v>
      </c>
      <c r="B308" s="0" t="b">
        <f aca="false">IF(ISERROR('Gainsay economics · Gainsay ope'!H11&gt;0),'Gainsay economics · Gainsay ope'!H11&gt;0,IF('Gainsay economics · Gainsay ope'!H11="","",'Gainsay economics · Gainsay ope'!H11&gt;0))</f>
        <v>0</v>
      </c>
    </row>
    <row r="309" customFormat="false" ht="18" hidden="false" customHeight="false" outlineLevel="0" collapsed="false">
      <c r="A309" s="27" t="s">
        <v>438</v>
      </c>
      <c r="B309" s="0" t="b">
        <f aca="false">IF(IFERROR(DATE(2027,4,1)&gt;=DATE(2026,10,1)=FALSE(),FALSE()),FALSE(),IF(IFERROR(DATE(2027,4,1)&lt;=DATE(2027,12,1)=FALSE(),FALSE()),FALSE(),IF(IFERROR('Model inputs'!B308=FALSE(),FALSE()),FALSE(),IF('Model inputs'!B308="","",AND(DATE(2027,4,1)&gt;=DATE(2026,10,1),DATE(2027,4,1)&lt;=DATE(2027,12,1),'Model inputs'!B308)))))</f>
        <v>0</v>
      </c>
    </row>
    <row r="310" customFormat="false" ht="18" hidden="false" customHeight="false" outlineLevel="0" collapsed="false">
      <c r="A310" s="27" t="s">
        <v>438</v>
      </c>
      <c r="B310" s="0" t="b">
        <f aca="false">IF(ISERROR('Gainsay economics · Gainsay ope'!I11&gt;0),'Gainsay economics · Gainsay ope'!I11&gt;0,IF('Gainsay economics · Gainsay ope'!I11="","",'Gainsay economics · Gainsay ope'!I11&gt;0))</f>
        <v>0</v>
      </c>
    </row>
    <row r="311" customFormat="false" ht="18" hidden="false" customHeight="false" outlineLevel="0" collapsed="false">
      <c r="A311" s="27" t="s">
        <v>438</v>
      </c>
      <c r="B311" s="0" t="b">
        <f aca="false">IF(IFERROR(DATE(2027,5,1)&gt;=DATE(2026,10,1)=FALSE(),FALSE()),FALSE(),IF(IFERROR(DATE(2027,5,1)&lt;=DATE(2027,12,1)=FALSE(),FALSE()),FALSE(),IF(IFERROR('Model inputs'!B310=FALSE(),FALSE()),FALSE(),IF('Model inputs'!B310="","",AND(DATE(2027,5,1)&gt;=DATE(2026,10,1),DATE(2027,5,1)&lt;=DATE(2027,12,1),'Model inputs'!B310)))))</f>
        <v>0</v>
      </c>
    </row>
    <row r="312" customFormat="false" ht="18" hidden="false" customHeight="false" outlineLevel="0" collapsed="false">
      <c r="A312" s="27" t="s">
        <v>438</v>
      </c>
      <c r="B312" s="0" t="b">
        <f aca="false">IF(ISERROR('Gainsay economics · Gainsay ope'!J11&gt;0),'Gainsay economics · Gainsay ope'!J11&gt;0,IF('Gainsay economics · Gainsay ope'!J11="","",'Gainsay economics · Gainsay ope'!J11&gt;0))</f>
        <v>0</v>
      </c>
    </row>
    <row r="313" customFormat="false" ht="18" hidden="false" customHeight="false" outlineLevel="0" collapsed="false">
      <c r="A313" s="27" t="s">
        <v>438</v>
      </c>
      <c r="B313" s="0" t="b">
        <f aca="false">IF(IFERROR(DATE(2027,6,1)&gt;=DATE(2026,10,1)=FALSE(),FALSE()),FALSE(),IF(IFERROR(DATE(2027,6,1)&lt;=DATE(2027,12,1)=FALSE(),FALSE()),FALSE(),IF(IFERROR('Model inputs'!B312=FALSE(),FALSE()),FALSE(),IF('Model inputs'!B312="","",AND(DATE(2027,6,1)&gt;=DATE(2026,10,1),DATE(2027,6,1)&lt;=DATE(2027,12,1),'Model inputs'!B312)))))</f>
        <v>0</v>
      </c>
    </row>
    <row r="314" customFormat="false" ht="18" hidden="false" customHeight="false" outlineLevel="0" collapsed="false">
      <c r="A314" s="27" t="s">
        <v>438</v>
      </c>
      <c r="B314" s="0" t="b">
        <f aca="false">IF(ISERROR('Gainsay economics · Gainsay ope'!K11&gt;0),'Gainsay economics · Gainsay ope'!K11&gt;0,IF('Gainsay economics · Gainsay ope'!K11="","",'Gainsay economics · Gainsay ope'!K11&gt;0))</f>
        <v>0</v>
      </c>
    </row>
    <row r="315" customFormat="false" ht="18" hidden="false" customHeight="false" outlineLevel="0" collapsed="false">
      <c r="A315" s="27" t="s">
        <v>438</v>
      </c>
      <c r="B315" s="0" t="b">
        <f aca="false">IF(IFERROR(DATE(2027,7,1)&gt;=DATE(2026,10,1)=FALSE(),FALSE()),FALSE(),IF(IFERROR(DATE(2027,7,1)&lt;=DATE(2027,12,1)=FALSE(),FALSE()),FALSE(),IF(IFERROR('Model inputs'!B314=FALSE(),FALSE()),FALSE(),IF('Model inputs'!B314="","",AND(DATE(2027,7,1)&gt;=DATE(2026,10,1),DATE(2027,7,1)&lt;=DATE(2027,12,1),'Model inputs'!B314)))))</f>
        <v>0</v>
      </c>
    </row>
    <row r="316" customFormat="false" ht="18" hidden="false" customHeight="false" outlineLevel="0" collapsed="false">
      <c r="A316" s="27" t="s">
        <v>438</v>
      </c>
      <c r="B316" s="0" t="b">
        <f aca="false">IF(ISERROR('Gainsay economics · Gainsay ope'!L11&gt;0),'Gainsay economics · Gainsay ope'!L11&gt;0,IF('Gainsay economics · Gainsay ope'!L11="","",'Gainsay economics · Gainsay ope'!L11&gt;0))</f>
        <v>1</v>
      </c>
    </row>
    <row r="317" customFormat="false" ht="18" hidden="false" customHeight="false" outlineLevel="0" collapsed="false">
      <c r="A317" s="27" t="s">
        <v>438</v>
      </c>
      <c r="B317" s="0" t="b">
        <f aca="false">IF(IFERROR(DATE(2027,8,1)&gt;=DATE(2026,10,1)=FALSE(),FALSE()),FALSE(),IF(IFERROR(DATE(2027,8,1)&lt;=DATE(2027,12,1)=FALSE(),FALSE()),FALSE(),IF(IFERROR('Model inputs'!B316=FALSE(),FALSE()),FALSE(),IF('Model inputs'!B316="","",AND(DATE(2027,8,1)&gt;=DATE(2026,10,1),DATE(2027,8,1)&lt;=DATE(2027,12,1),'Model inputs'!B316)))))</f>
        <v>1</v>
      </c>
    </row>
    <row r="318" customFormat="false" ht="18" hidden="false" customHeight="false" outlineLevel="0" collapsed="false">
      <c r="A318" s="27" t="s">
        <v>438</v>
      </c>
      <c r="B318" s="0" t="b">
        <f aca="false">IF(ISERROR('Gainsay economics · Gainsay ope'!M11&gt;0),'Gainsay economics · Gainsay ope'!M11&gt;0,IF('Gainsay economics · Gainsay ope'!M11="","",'Gainsay economics · Gainsay ope'!M11&gt;0))</f>
        <v>1</v>
      </c>
    </row>
    <row r="319" customFormat="false" ht="18" hidden="false" customHeight="false" outlineLevel="0" collapsed="false">
      <c r="A319" s="27" t="s">
        <v>438</v>
      </c>
      <c r="B319" s="0" t="b">
        <f aca="false">IF(IFERROR(DATE(2027,9,1)&gt;=DATE(2026,10,1)=FALSE(),FALSE()),FALSE(),IF(IFERROR(DATE(2027,9,1)&lt;=DATE(2027,12,1)=FALSE(),FALSE()),FALSE(),IF(IFERROR('Model inputs'!B318=FALSE(),FALSE()),FALSE(),IF('Model inputs'!B318="","",AND(DATE(2027,9,1)&gt;=DATE(2026,10,1),DATE(2027,9,1)&lt;=DATE(2027,12,1),'Model inputs'!B318)))))</f>
        <v>1</v>
      </c>
    </row>
    <row r="320" customFormat="false" ht="18" hidden="false" customHeight="false" outlineLevel="0" collapsed="false">
      <c r="A320" s="27" t="s">
        <v>438</v>
      </c>
      <c r="B320" s="0" t="b">
        <f aca="false">IF(ISERROR('Gainsay economics · Gainsay ope'!N11&gt;0),'Gainsay economics · Gainsay ope'!N11&gt;0,IF('Gainsay economics · Gainsay ope'!N11="","",'Gainsay economics · Gainsay ope'!N11&gt;0))</f>
        <v>1</v>
      </c>
    </row>
    <row r="321" customFormat="false" ht="18" hidden="false" customHeight="false" outlineLevel="0" collapsed="false">
      <c r="A321" s="27" t="s">
        <v>438</v>
      </c>
      <c r="B321" s="0" t="b">
        <f aca="false">IF(IFERROR(DATE(2027,10,1)&gt;=DATE(2026,10,1)=FALSE(),FALSE()),FALSE(),IF(IFERROR(DATE(2027,10,1)&lt;=DATE(2027,12,1)=FALSE(),FALSE()),FALSE(),IF(IFERROR('Model inputs'!B320=FALSE(),FALSE()),FALSE(),IF('Model inputs'!B320="","",AND(DATE(2027,10,1)&gt;=DATE(2026,10,1),DATE(2027,10,1)&lt;=DATE(2027,12,1),'Model inputs'!B320)))))</f>
        <v>1</v>
      </c>
    </row>
    <row r="322" customFormat="false" ht="18" hidden="false" customHeight="false" outlineLevel="0" collapsed="false">
      <c r="A322" s="27" t="s">
        <v>438</v>
      </c>
      <c r="B322" s="0" t="b">
        <f aca="false">IF(ISERROR('Gainsay economics · Gainsay ope'!O11&gt;0),'Gainsay economics · Gainsay ope'!O11&gt;0,IF('Gainsay economics · Gainsay ope'!O11="","",'Gainsay economics · Gainsay ope'!O11&gt;0))</f>
        <v>1</v>
      </c>
    </row>
    <row r="323" customFormat="false" ht="18" hidden="false" customHeight="false" outlineLevel="0" collapsed="false">
      <c r="A323" s="27" t="s">
        <v>438</v>
      </c>
      <c r="B323" s="0" t="b">
        <f aca="false">IF(IFERROR(DATE(2027,11,1)&gt;=DATE(2026,10,1)=FALSE(),FALSE()),FALSE(),IF(IFERROR(DATE(2027,11,1)&lt;=DATE(2027,12,1)=FALSE(),FALSE()),FALSE(),IF(IFERROR('Model inputs'!B322=FALSE(),FALSE()),FALSE(),IF('Model inputs'!B322="","",AND(DATE(2027,11,1)&gt;=DATE(2026,10,1),DATE(2027,11,1)&lt;=DATE(2027,12,1),'Model inputs'!B322)))))</f>
        <v>1</v>
      </c>
    </row>
    <row r="324" customFormat="false" ht="18" hidden="false" customHeight="false" outlineLevel="0" collapsed="false">
      <c r="A324" s="27" t="s">
        <v>438</v>
      </c>
      <c r="B324" s="0" t="b">
        <f aca="false">IF(ISERROR('Gainsay economics · Gainsay ope'!P11&gt;0),'Gainsay economics · Gainsay ope'!P11&gt;0,IF('Gainsay economics · Gainsay ope'!P11="","",'Gainsay economics · Gainsay ope'!P11&gt;0))</f>
        <v>1</v>
      </c>
    </row>
    <row r="325" customFormat="false" ht="18" hidden="false" customHeight="false" outlineLevel="0" collapsed="false">
      <c r="A325" s="27" t="s">
        <v>438</v>
      </c>
      <c r="B325" s="0" t="b">
        <f aca="false">IF(IFERROR(DATE(2027,12,1)&gt;=DATE(2026,10,1)=FALSE(),FALSE()),FALSE(),IF(IFERROR(DATE(2027,12,1)&lt;=DATE(2027,12,1)=FALSE(),FALSE()),FALSE(),IF(IFERROR('Model inputs'!B324=FALSE(),FALSE()),FALSE(),IF('Model inputs'!B324="","",AND(DATE(2027,12,1)&gt;=DATE(2026,10,1),DATE(2027,12,1)&lt;=DATE(2027,12,1),'Model inputs'!B324)))))</f>
        <v>1</v>
      </c>
    </row>
    <row r="326" customFormat="false" ht="18" hidden="false" customHeight="false" outlineLevel="0" collapsed="false">
      <c r="A326" s="27" t="s">
        <v>438</v>
      </c>
      <c r="B326" s="0" t="b">
        <f aca="false">IF(IFERROR(DATE(2026,1,1)&gt;=DATE(2026,10,1)=FALSE(),FALSE()),FALSE(),IF(IFERROR(DATE(2026,1,1)&lt;=DATE(2027,12,1)=FALSE(),FALSE()),FALSE(),IF(IFERROR(IF(ISERROR('Model inputs'!B72&gt;0),'Model inputs'!B72&gt;0,IF('Model inputs'!B72="","",'Model inputs'!B72&gt;0))=FALSE(),FALSE()),FALSE(),IF(IF(ISERROR('Model inputs'!B72&gt;0),'Model inputs'!B72&gt;0,IF('Model inputs'!B72="","",'Model inputs'!B72&gt;0))="","",AND(DATE(2026,1,1)&gt;=DATE(2026,10,1),DATE(2026,1,1)&lt;=DATE(2027,12,1),IF(ISERROR('Model inputs'!B72&gt;0),'Model inputs'!B72&gt;0,IF('Model inputs'!B72="","",'Model inputs'!B72&gt;0)))))))</f>
        <v>0</v>
      </c>
    </row>
    <row r="327" customFormat="false" ht="18" hidden="false" customHeight="false" outlineLevel="0" collapsed="false">
      <c r="A327" s="27" t="s">
        <v>438</v>
      </c>
      <c r="B327" s="0" t="b">
        <f aca="false">IF(IFERROR(DATE(2026,2,1)&gt;=DATE(2026,10,1)=FALSE(),FALSE()),FALSE(),IF(IFERROR(DATE(2026,2,1)&lt;=DATE(2027,12,1)=FALSE(),FALSE()),FALSE(),IF(IFERROR(IF(ISERROR('Model inputs'!C72&gt;0),'Model inputs'!C72&gt;0,IF('Model inputs'!C72="","",'Model inputs'!C72&gt;0))=FALSE(),FALSE()),FALSE(),IF(IF(ISERROR('Model inputs'!C72&gt;0),'Model inputs'!C72&gt;0,IF('Model inputs'!C72="","",'Model inputs'!C72&gt;0))="","",AND(DATE(2026,2,1)&gt;=DATE(2026,10,1),DATE(2026,2,1)&lt;=DATE(2027,12,1),IF(ISERROR('Model inputs'!C72&gt;0),'Model inputs'!C72&gt;0,IF('Model inputs'!C72="","",'Model inputs'!C72&gt;0)))))))</f>
        <v>0</v>
      </c>
    </row>
    <row r="328" customFormat="false" ht="18" hidden="false" customHeight="false" outlineLevel="0" collapsed="false">
      <c r="A328" s="27" t="s">
        <v>438</v>
      </c>
      <c r="B328" s="0" t="b">
        <f aca="false">IF(IFERROR(DATE(2026,3,1)&gt;=DATE(2026,10,1)=FALSE(),FALSE()),FALSE(),IF(IFERROR(DATE(2026,3,1)&lt;=DATE(2027,12,1)=FALSE(),FALSE()),FALSE(),IF(IFERROR(IF(ISERROR('Model inputs'!D72&gt;0),'Model inputs'!D72&gt;0,IF('Model inputs'!D72="","",'Model inputs'!D72&gt;0))=FALSE(),FALSE()),FALSE(),IF(IF(ISERROR('Model inputs'!D72&gt;0),'Model inputs'!D72&gt;0,IF('Model inputs'!D72="","",'Model inputs'!D72&gt;0))="","",AND(DATE(2026,3,1)&gt;=DATE(2026,10,1),DATE(2026,3,1)&lt;=DATE(2027,12,1),IF(ISERROR('Model inputs'!D72&gt;0),'Model inputs'!D72&gt;0,IF('Model inputs'!D72="","",'Model inputs'!D72&gt;0)))))))</f>
        <v>0</v>
      </c>
    </row>
    <row r="329" customFormat="false" ht="18" hidden="false" customHeight="false" outlineLevel="0" collapsed="false">
      <c r="A329" s="27" t="s">
        <v>438</v>
      </c>
      <c r="B329" s="0" t="b">
        <f aca="false">IF(IFERROR(DATE(2026,4,1)&gt;=DATE(2026,10,1)=FALSE(),FALSE()),FALSE(),IF(IFERROR(DATE(2026,4,1)&lt;=DATE(2027,12,1)=FALSE(),FALSE()),FALSE(),IF(IFERROR(IF(ISERROR('Model inputs'!E72&gt;0),'Model inputs'!E72&gt;0,IF('Model inputs'!E72="","",'Model inputs'!E72&gt;0))=FALSE(),FALSE()),FALSE(),IF(IF(ISERROR('Model inputs'!E72&gt;0),'Model inputs'!E72&gt;0,IF('Model inputs'!E72="","",'Model inputs'!E72&gt;0))="","",AND(DATE(2026,4,1)&gt;=DATE(2026,10,1),DATE(2026,4,1)&lt;=DATE(2027,12,1),IF(ISERROR('Model inputs'!E72&gt;0),'Model inputs'!E72&gt;0,IF('Model inputs'!E72="","",'Model inputs'!E72&gt;0)))))))</f>
        <v>0</v>
      </c>
    </row>
    <row r="330" customFormat="false" ht="18" hidden="false" customHeight="false" outlineLevel="0" collapsed="false">
      <c r="A330" s="27" t="s">
        <v>438</v>
      </c>
      <c r="B330" s="0" t="b">
        <f aca="false">IF(IFERROR(DATE(2026,5,1)&gt;=DATE(2026,10,1)=FALSE(),FALSE()),FALSE(),IF(IFERROR(DATE(2026,5,1)&lt;=DATE(2027,12,1)=FALSE(),FALSE()),FALSE(),IF(IFERROR(IF(ISERROR('Model inputs'!F72&gt;0),'Model inputs'!F72&gt;0,IF('Model inputs'!F72="","",'Model inputs'!F72&gt;0))=FALSE(),FALSE()),FALSE(),IF(IF(ISERROR('Model inputs'!F72&gt;0),'Model inputs'!F72&gt;0,IF('Model inputs'!F72="","",'Model inputs'!F72&gt;0))="","",AND(DATE(2026,5,1)&gt;=DATE(2026,10,1),DATE(2026,5,1)&lt;=DATE(2027,12,1),IF(ISERROR('Model inputs'!F72&gt;0),'Model inputs'!F72&gt;0,IF('Model inputs'!F72="","",'Model inputs'!F72&gt;0)))))))</f>
        <v>0</v>
      </c>
    </row>
    <row r="331" customFormat="false" ht="18" hidden="false" customHeight="false" outlineLevel="0" collapsed="false">
      <c r="A331" s="27" t="s">
        <v>438</v>
      </c>
      <c r="B331" s="0" t="b">
        <f aca="false">IF(IFERROR(DATE(2026,6,1)&gt;=DATE(2026,10,1)=FALSE(),FALSE()),FALSE(),IF(IFERROR(DATE(2026,6,1)&lt;=DATE(2027,12,1)=FALSE(),FALSE()),FALSE(),IF(IFERROR(IF(ISERROR('Model inputs'!G72&gt;0),'Model inputs'!G72&gt;0,IF('Model inputs'!G72="","",'Model inputs'!G72&gt;0))=FALSE(),FALSE()),FALSE(),IF(IF(ISERROR('Model inputs'!G72&gt;0),'Model inputs'!G72&gt;0,IF('Model inputs'!G72="","",'Model inputs'!G72&gt;0))="","",AND(DATE(2026,6,1)&gt;=DATE(2026,10,1),DATE(2026,6,1)&lt;=DATE(2027,12,1),IF(ISERROR('Model inputs'!G72&gt;0),'Model inputs'!G72&gt;0,IF('Model inputs'!G72="","",'Model inputs'!G72&gt;0)))))))</f>
        <v>0</v>
      </c>
    </row>
    <row r="332" customFormat="false" ht="18" hidden="false" customHeight="false" outlineLevel="0" collapsed="false">
      <c r="A332" s="27" t="s">
        <v>438</v>
      </c>
      <c r="B332" s="0" t="b">
        <f aca="false">IF(IFERROR(DATE(2026,7,1)&gt;=DATE(2026,10,1)=FALSE(),FALSE()),FALSE(),IF(IFERROR(DATE(2026,7,1)&lt;=DATE(2027,12,1)=FALSE(),FALSE()),FALSE(),IF(IFERROR(IF(ISERROR('Model inputs'!H72&gt;0),'Model inputs'!H72&gt;0,IF('Model inputs'!H72="","",'Model inputs'!H72&gt;0))=FALSE(),FALSE()),FALSE(),IF(IF(ISERROR('Model inputs'!H72&gt;0),'Model inputs'!H72&gt;0,IF('Model inputs'!H72="","",'Model inputs'!H72&gt;0))="","",AND(DATE(2026,7,1)&gt;=DATE(2026,10,1),DATE(2026,7,1)&lt;=DATE(2027,12,1),IF(ISERROR('Model inputs'!H72&gt;0),'Model inputs'!H72&gt;0,IF('Model inputs'!H72="","",'Model inputs'!H72&gt;0)))))))</f>
        <v>0</v>
      </c>
    </row>
    <row r="333" customFormat="false" ht="18" hidden="false" customHeight="false" outlineLevel="0" collapsed="false">
      <c r="A333" s="27" t="s">
        <v>438</v>
      </c>
      <c r="B333" s="0" t="b">
        <f aca="false">IF(IFERROR(DATE(2026,8,1)&gt;=DATE(2026,10,1)=FALSE(),FALSE()),FALSE(),IF(IFERROR(DATE(2026,8,1)&lt;=DATE(2027,12,1)=FALSE(),FALSE()),FALSE(),IF(IFERROR(IF(ISERROR('Model inputs'!I72&gt;0),'Model inputs'!I72&gt;0,IF('Model inputs'!I72="","",'Model inputs'!I72&gt;0))=FALSE(),FALSE()),FALSE(),IF(IF(ISERROR('Model inputs'!I72&gt;0),'Model inputs'!I72&gt;0,IF('Model inputs'!I72="","",'Model inputs'!I72&gt;0))="","",AND(DATE(2026,8,1)&gt;=DATE(2026,10,1),DATE(2026,8,1)&lt;=DATE(2027,12,1),IF(ISERROR('Model inputs'!I72&gt;0),'Model inputs'!I72&gt;0,IF('Model inputs'!I72="","",'Model inputs'!I72&gt;0)))))))</f>
        <v>0</v>
      </c>
    </row>
    <row r="334" customFormat="false" ht="18" hidden="false" customHeight="false" outlineLevel="0" collapsed="false">
      <c r="A334" s="27" t="s">
        <v>438</v>
      </c>
      <c r="B334" s="0" t="b">
        <f aca="false">IF(IFERROR(DATE(2026,9,1)&gt;=DATE(2026,10,1)=FALSE(),FALSE()),FALSE(),IF(IFERROR(DATE(2026,9,1)&lt;=DATE(2027,12,1)=FALSE(),FALSE()),FALSE(),IF(IFERROR(IF(ISERROR('Model inputs'!J72&gt;0),'Model inputs'!J72&gt;0,IF('Model inputs'!J72="","",'Model inputs'!J72&gt;0))=FALSE(),FALSE()),FALSE(),IF(IF(ISERROR('Model inputs'!J72&gt;0),'Model inputs'!J72&gt;0,IF('Model inputs'!J72="","",'Model inputs'!J72&gt;0))="","",AND(DATE(2026,9,1)&gt;=DATE(2026,10,1),DATE(2026,9,1)&lt;=DATE(2027,12,1),IF(ISERROR('Model inputs'!J72&gt;0),'Model inputs'!J72&gt;0,IF('Model inputs'!J72="","",'Model inputs'!J72&gt;0)))))))</f>
        <v>0</v>
      </c>
    </row>
    <row r="335" customFormat="false" ht="18" hidden="false" customHeight="false" outlineLevel="0" collapsed="false">
      <c r="A335" s="27" t="s">
        <v>438</v>
      </c>
      <c r="B335" s="0" t="str">
        <f aca="false">IF(IF('Model inputs'!B297="",FALSE(),'Model inputs'!B297),'Gainsay economics · Gainsay ope'!B42,"")</f>
        <v/>
      </c>
    </row>
    <row r="336" customFormat="false" ht="18" hidden="false" customHeight="false" outlineLevel="0" collapsed="false">
      <c r="A336" s="27" t="s">
        <v>438</v>
      </c>
      <c r="B336" s="0" t="str">
        <f aca="false">IF(IF('Model inputs'!B299="",FALSE(),'Model inputs'!B299),'Gainsay economics · Gainsay ope'!C42,"")</f>
        <v/>
      </c>
    </row>
    <row r="337" customFormat="false" ht="18" hidden="false" customHeight="false" outlineLevel="0" collapsed="false">
      <c r="A337" s="27" t="s">
        <v>438</v>
      </c>
      <c r="B337" s="0" t="str">
        <f aca="false">IF(IF('Model inputs'!B301="",FALSE(),'Model inputs'!B301),'Gainsay economics · Gainsay ope'!D42,"")</f>
        <v/>
      </c>
    </row>
    <row r="338" customFormat="false" ht="18" hidden="false" customHeight="false" outlineLevel="0" collapsed="false">
      <c r="A338" s="27" t="s">
        <v>438</v>
      </c>
      <c r="B338" s="0" t="str">
        <f aca="false">IF(IF('Model inputs'!B303="",FALSE(),'Model inputs'!B303),'Gainsay economics · Gainsay ope'!E42,"")</f>
        <v/>
      </c>
    </row>
    <row r="339" customFormat="false" ht="18" hidden="false" customHeight="false" outlineLevel="0" collapsed="false">
      <c r="A339" s="27" t="s">
        <v>438</v>
      </c>
      <c r="B339" s="0" t="str">
        <f aca="false">IF(IF('Model inputs'!B305="",FALSE(),'Model inputs'!B305),'Gainsay economics · Gainsay ope'!F42,"")</f>
        <v/>
      </c>
    </row>
    <row r="340" customFormat="false" ht="18" hidden="false" customHeight="false" outlineLevel="0" collapsed="false">
      <c r="A340" s="27" t="s">
        <v>438</v>
      </c>
      <c r="B340" s="0" t="str">
        <f aca="false">IF(IF('Model inputs'!B307="",FALSE(),'Model inputs'!B307),'Gainsay economics · Gainsay ope'!G42,"")</f>
        <v/>
      </c>
    </row>
    <row r="341" customFormat="false" ht="18" hidden="false" customHeight="false" outlineLevel="0" collapsed="false">
      <c r="A341" s="27" t="s">
        <v>438</v>
      </c>
      <c r="B341" s="0" t="str">
        <f aca="false">IF(IF('Model inputs'!B309="",FALSE(),'Model inputs'!B309),'Gainsay economics · Gainsay ope'!H42,"")</f>
        <v/>
      </c>
    </row>
    <row r="342" customFormat="false" ht="18" hidden="false" customHeight="false" outlineLevel="0" collapsed="false">
      <c r="A342" s="27" t="s">
        <v>438</v>
      </c>
      <c r="B342" s="0" t="str">
        <f aca="false">IF(IF('Model inputs'!B311="",FALSE(),'Model inputs'!B311),'Gainsay economics · Gainsay ope'!I42,"")</f>
        <v/>
      </c>
    </row>
    <row r="343" customFormat="false" ht="18" hidden="false" customHeight="false" outlineLevel="0" collapsed="false">
      <c r="A343" s="27" t="s">
        <v>438</v>
      </c>
      <c r="B343" s="0" t="str">
        <f aca="false">IF(IF('Model inputs'!B313="",FALSE(),'Model inputs'!B313),'Gainsay economics · Gainsay ope'!J42,"")</f>
        <v/>
      </c>
    </row>
    <row r="344" customFormat="false" ht="18" hidden="false" customHeight="false" outlineLevel="0" collapsed="false">
      <c r="A344" s="27" t="s">
        <v>438</v>
      </c>
      <c r="B344" s="0" t="str">
        <f aca="false">IF(IF('Model inputs'!B315="",FALSE(),'Model inputs'!B315),'Gainsay economics · Gainsay ope'!K42,"")</f>
        <v/>
      </c>
    </row>
    <row r="345" customFormat="false" ht="18" hidden="false" customHeight="false" outlineLevel="0" collapsed="false">
      <c r="A345" s="27" t="s">
        <v>438</v>
      </c>
      <c r="B345" s="0" t="n">
        <f aca="false">IF(IF('Model inputs'!B317="",FALSE(),'Model inputs'!B317),'Gainsay economics · Gainsay ope'!L42,"")</f>
        <v>11</v>
      </c>
    </row>
    <row r="346" customFormat="false" ht="18" hidden="false" customHeight="false" outlineLevel="0" collapsed="false">
      <c r="A346" s="27" t="s">
        <v>438</v>
      </c>
      <c r="B346" s="0" t="n">
        <f aca="false">IF(IF('Model inputs'!B319="",FALSE(),'Model inputs'!B319),'Gainsay economics · Gainsay ope'!M42,"")</f>
        <v>12</v>
      </c>
    </row>
    <row r="347" customFormat="false" ht="18" hidden="false" customHeight="false" outlineLevel="0" collapsed="false">
      <c r="A347" s="27" t="s">
        <v>438</v>
      </c>
      <c r="B347" s="0" t="n">
        <f aca="false">IF(IF('Model inputs'!B321="",FALSE(),'Model inputs'!B321),'Gainsay economics · Gainsay ope'!N42,"")</f>
        <v>13</v>
      </c>
    </row>
    <row r="348" customFormat="false" ht="18" hidden="false" customHeight="false" outlineLevel="0" collapsed="false">
      <c r="A348" s="27" t="s">
        <v>438</v>
      </c>
      <c r="B348" s="0" t="n">
        <f aca="false">IF(IF('Model inputs'!B323="",FALSE(),'Model inputs'!B323),'Gainsay economics · Gainsay ope'!O42,"")</f>
        <v>14</v>
      </c>
    </row>
    <row r="349" customFormat="false" ht="18" hidden="false" customHeight="false" outlineLevel="0" collapsed="false">
      <c r="A349" s="27" t="s">
        <v>438</v>
      </c>
      <c r="B349" s="0" t="n">
        <f aca="false">IF(IF('Model inputs'!B325="",FALSE(),'Model inputs'!B325),'Gainsay economics · Gainsay ope'!P42,"")</f>
        <v>15</v>
      </c>
    </row>
    <row r="350" customFormat="false" ht="18" hidden="false" customHeight="false" outlineLevel="0" collapsed="false">
      <c r="A350" s="27" t="s">
        <v>438</v>
      </c>
      <c r="B350" s="0" t="str">
        <f aca="false">IF(IF('Model inputs'!B326="",FALSE(),'Model inputs'!B326),'Model inputs'!B97,"")</f>
        <v/>
      </c>
    </row>
    <row r="351" customFormat="false" ht="18" hidden="false" customHeight="false" outlineLevel="0" collapsed="false">
      <c r="A351" s="27" t="s">
        <v>438</v>
      </c>
      <c r="B351" s="0" t="str">
        <f aca="false">IF(IF('Model inputs'!B327="",FALSE(),'Model inputs'!B327),'Model inputs'!C97,"")</f>
        <v/>
      </c>
    </row>
    <row r="352" customFormat="false" ht="18" hidden="false" customHeight="false" outlineLevel="0" collapsed="false">
      <c r="A352" s="27" t="s">
        <v>438</v>
      </c>
      <c r="B352" s="0" t="str">
        <f aca="false">IF(IF('Model inputs'!B328="",FALSE(),'Model inputs'!B328),'Model inputs'!D97,"")</f>
        <v/>
      </c>
    </row>
    <row r="353" customFormat="false" ht="18" hidden="false" customHeight="false" outlineLevel="0" collapsed="false">
      <c r="A353" s="27" t="s">
        <v>438</v>
      </c>
      <c r="B353" s="0" t="str">
        <f aca="false">IF(IF('Model inputs'!B329="",FALSE(),'Model inputs'!B329),'Model inputs'!E97,"")</f>
        <v/>
      </c>
    </row>
    <row r="354" customFormat="false" ht="18" hidden="false" customHeight="false" outlineLevel="0" collapsed="false">
      <c r="A354" s="27" t="s">
        <v>438</v>
      </c>
      <c r="B354" s="0" t="str">
        <f aca="false">IF(IF('Model inputs'!B330="",FALSE(),'Model inputs'!B330),'Model inputs'!F97,"")</f>
        <v/>
      </c>
    </row>
    <row r="355" customFormat="false" ht="18" hidden="false" customHeight="false" outlineLevel="0" collapsed="false">
      <c r="A355" s="27" t="s">
        <v>438</v>
      </c>
      <c r="B355" s="0" t="str">
        <f aca="false">IF(IF('Model inputs'!B331="",FALSE(),'Model inputs'!B331),'Model inputs'!G97,"")</f>
        <v/>
      </c>
    </row>
    <row r="356" customFormat="false" ht="18" hidden="false" customHeight="false" outlineLevel="0" collapsed="false">
      <c r="A356" s="27" t="s">
        <v>438</v>
      </c>
      <c r="B356" s="0" t="str">
        <f aca="false">IF(IF('Model inputs'!B332="",FALSE(),'Model inputs'!B332),'Model inputs'!H97,"")</f>
        <v/>
      </c>
    </row>
    <row r="357" customFormat="false" ht="18" hidden="false" customHeight="false" outlineLevel="0" collapsed="false">
      <c r="A357" s="27" t="s">
        <v>438</v>
      </c>
      <c r="B357" s="0" t="str">
        <f aca="false">IF(IF('Model inputs'!B333="",FALSE(),'Model inputs'!B333),'Model inputs'!I97,"")</f>
        <v/>
      </c>
    </row>
    <row r="358" customFormat="false" ht="18" hidden="false" customHeight="false" outlineLevel="0" collapsed="false">
      <c r="A358" s="27" t="s">
        <v>438</v>
      </c>
      <c r="B358" s="0" t="str">
        <f aca="false">IF(IF('Model inputs'!B334="",FALSE(),'Model inputs'!B334),'Model inputs'!J97,"")</f>
        <v/>
      </c>
    </row>
    <row r="359" customFormat="false" ht="18" hidden="false" customHeight="false" outlineLevel="0" collapsed="false">
      <c r="A359" s="27" t="s">
        <v>438</v>
      </c>
      <c r="B359" s="0" t="n">
        <f aca="false">(IF(AND('Model inputs'!B335="",'Model inputs'!B336="",'Model inputs'!B337="",'Model inputs'!B338="",'Model inputs'!B339="",'Model inputs'!B340="",'Model inputs'!B341="",'Model inputs'!B342="",'Model inputs'!B343="",'Model inputs'!B344="",'Model inputs'!B345="",'Model inputs'!B346="",'Model inputs'!B347="",'Model inputs'!B348="",'Model inputs'!B349="",'Model inputs'!B350="",'Model inputs'!B351="",'Model inputs'!B352="",'Model inputs'!B353="",'Model inputs'!B354="",'Model inputs'!B355="",'Model inputs'!B356="",'Model inputs'!B357="",'Model inputs'!B358=""),"",MIN('Model inputs'!B335,'Model inputs'!B336,'Model inputs'!B337,'Model inputs'!B338,'Model inputs'!B339,'Model inputs'!B340,'Model inputs'!B341,'Model inputs'!B342,'Model inputs'!B343,'Model inputs'!B344,'Model inputs'!B345,'Model inputs'!B346,'Model inputs'!B347,'Model inputs'!B348,'Model inputs'!B349,'Model inputs'!B350,'Model inputs'!B351,'Model inputs'!B352,'Model inputs'!B353,'Model inputs'!B354,'Model inputs'!B355,'Model inputs'!B356,'Model inputs'!B357,'Model inputs'!B358)))</f>
        <v>11</v>
      </c>
    </row>
    <row r="360" customFormat="false" ht="18" hidden="false" customHeight="false" outlineLevel="0" collapsed="false">
      <c r="A360" s="27" t="s">
        <v>438</v>
      </c>
      <c r="B360" s="0" t="b">
        <f aca="false">IF(ISERROR('Gainsay economics · Gainsay ope'!B12&lt;0),'Gainsay economics · Gainsay ope'!B12&lt;0,IF('Gainsay economics · Gainsay ope'!B12="","",'Gainsay economics · Gainsay ope'!B12&lt;0))</f>
        <v>0</v>
      </c>
    </row>
    <row r="361" customFormat="false" ht="18" hidden="false" customHeight="false" outlineLevel="0" collapsed="false">
      <c r="A361" s="27" t="s">
        <v>438</v>
      </c>
      <c r="B361" s="0" t="b">
        <f aca="false">IF(IFERROR(DATE(2026,10,1)&gt;=DATE(2026,10,1)=FALSE(),FALSE()),FALSE(),IF(IFERROR(DATE(2026,10,1)&lt;=DATE(2027,12,1)=FALSE(),FALSE()),FALSE(),IF(IFERROR('Model inputs'!B360=FALSE(),FALSE()),FALSE(),IF('Model inputs'!B360="","",AND(DATE(2026,10,1)&gt;=DATE(2026,10,1),DATE(2026,10,1)&lt;=DATE(2027,12,1),'Model inputs'!B360)))))</f>
        <v>0</v>
      </c>
    </row>
    <row r="362" customFormat="false" ht="18" hidden="false" customHeight="false" outlineLevel="0" collapsed="false">
      <c r="A362" s="27" t="s">
        <v>438</v>
      </c>
      <c r="B362" s="0" t="b">
        <f aca="false">IF(ISERROR('Gainsay economics · Gainsay ope'!C12&lt;0),'Gainsay economics · Gainsay ope'!C12&lt;0,IF('Gainsay economics · Gainsay ope'!C12="","",'Gainsay economics · Gainsay ope'!C12&lt;0))</f>
        <v>0</v>
      </c>
    </row>
    <row r="363" customFormat="false" ht="18" hidden="false" customHeight="false" outlineLevel="0" collapsed="false">
      <c r="A363" s="27" t="s">
        <v>438</v>
      </c>
      <c r="B363" s="0" t="b">
        <f aca="false">IF(IFERROR(DATE(2026,11,1)&gt;=DATE(2026,10,1)=FALSE(),FALSE()),FALSE(),IF(IFERROR(DATE(2026,11,1)&lt;=DATE(2027,12,1)=FALSE(),FALSE()),FALSE(),IF(IFERROR('Model inputs'!B362=FALSE(),FALSE()),FALSE(),IF('Model inputs'!B362="","",AND(DATE(2026,11,1)&gt;=DATE(2026,10,1),DATE(2026,11,1)&lt;=DATE(2027,12,1),'Model inputs'!B362)))))</f>
        <v>0</v>
      </c>
    </row>
    <row r="364" customFormat="false" ht="18" hidden="false" customHeight="false" outlineLevel="0" collapsed="false">
      <c r="A364" s="27" t="s">
        <v>438</v>
      </c>
      <c r="B364" s="0" t="b">
        <f aca="false">IF(ISERROR('Gainsay economics · Gainsay ope'!D12&lt;0),'Gainsay economics · Gainsay ope'!D12&lt;0,IF('Gainsay economics · Gainsay ope'!D12="","",'Gainsay economics · Gainsay ope'!D12&lt;0))</f>
        <v>0</v>
      </c>
    </row>
    <row r="365" customFormat="false" ht="18" hidden="false" customHeight="false" outlineLevel="0" collapsed="false">
      <c r="A365" s="27" t="s">
        <v>438</v>
      </c>
      <c r="B365" s="0" t="b">
        <f aca="false">IF(IFERROR(DATE(2026,12,1)&gt;=DATE(2026,10,1)=FALSE(),FALSE()),FALSE(),IF(IFERROR(DATE(2026,12,1)&lt;=DATE(2027,12,1)=FALSE(),FALSE()),FALSE(),IF(IFERROR('Model inputs'!B364=FALSE(),FALSE()),FALSE(),IF('Model inputs'!B364="","",AND(DATE(2026,12,1)&gt;=DATE(2026,10,1),DATE(2026,12,1)&lt;=DATE(2027,12,1),'Model inputs'!B364)))))</f>
        <v>0</v>
      </c>
    </row>
    <row r="366" customFormat="false" ht="18" hidden="false" customHeight="false" outlineLevel="0" collapsed="false">
      <c r="A366" s="27" t="s">
        <v>438</v>
      </c>
      <c r="B366" s="0" t="b">
        <f aca="false">IF(ISERROR('Gainsay economics · Gainsay ope'!E12&lt;0),'Gainsay economics · Gainsay ope'!E12&lt;0,IF('Gainsay economics · Gainsay ope'!E12="","",'Gainsay economics · Gainsay ope'!E12&lt;0))</f>
        <v>0</v>
      </c>
    </row>
    <row r="367" customFormat="false" ht="18" hidden="false" customHeight="false" outlineLevel="0" collapsed="false">
      <c r="A367" s="27" t="s">
        <v>438</v>
      </c>
      <c r="B367" s="0" t="b">
        <f aca="false">IF(IFERROR(DATE(2027,1,1)&gt;=DATE(2026,10,1)=FALSE(),FALSE()),FALSE(),IF(IFERROR(DATE(2027,1,1)&lt;=DATE(2027,12,1)=FALSE(),FALSE()),FALSE(),IF(IFERROR('Model inputs'!B366=FALSE(),FALSE()),FALSE(),IF('Model inputs'!B366="","",AND(DATE(2027,1,1)&gt;=DATE(2026,10,1),DATE(2027,1,1)&lt;=DATE(2027,12,1),'Model inputs'!B366)))))</f>
        <v>0</v>
      </c>
    </row>
    <row r="368" customFormat="false" ht="18" hidden="false" customHeight="false" outlineLevel="0" collapsed="false">
      <c r="A368" s="27" t="s">
        <v>438</v>
      </c>
      <c r="B368" s="0" t="b">
        <f aca="false">IF(ISERROR('Gainsay economics · Gainsay ope'!F12&lt;0),'Gainsay economics · Gainsay ope'!F12&lt;0,IF('Gainsay economics · Gainsay ope'!F12="","",'Gainsay economics · Gainsay ope'!F12&lt;0))</f>
        <v>0</v>
      </c>
    </row>
    <row r="369" customFormat="false" ht="18" hidden="false" customHeight="false" outlineLevel="0" collapsed="false">
      <c r="A369" s="27" t="s">
        <v>438</v>
      </c>
      <c r="B369" s="0" t="b">
        <f aca="false">IF(IFERROR(DATE(2027,2,1)&gt;=DATE(2026,10,1)=FALSE(),FALSE()),FALSE(),IF(IFERROR(DATE(2027,2,1)&lt;=DATE(2027,12,1)=FALSE(),FALSE()),FALSE(),IF(IFERROR('Model inputs'!B368=FALSE(),FALSE()),FALSE(),IF('Model inputs'!B368="","",AND(DATE(2027,2,1)&gt;=DATE(2026,10,1),DATE(2027,2,1)&lt;=DATE(2027,12,1),'Model inputs'!B368)))))</f>
        <v>0</v>
      </c>
    </row>
    <row r="370" customFormat="false" ht="18" hidden="false" customHeight="false" outlineLevel="0" collapsed="false">
      <c r="A370" s="27" t="s">
        <v>438</v>
      </c>
      <c r="B370" s="0" t="b">
        <f aca="false">IF(ISERROR('Gainsay economics · Gainsay ope'!G12&lt;0),'Gainsay economics · Gainsay ope'!G12&lt;0,IF('Gainsay economics · Gainsay ope'!G12="","",'Gainsay economics · Gainsay ope'!G12&lt;0))</f>
        <v>0</v>
      </c>
    </row>
    <row r="371" customFormat="false" ht="18" hidden="false" customHeight="false" outlineLevel="0" collapsed="false">
      <c r="A371" s="27" t="s">
        <v>438</v>
      </c>
      <c r="B371" s="0" t="b">
        <f aca="false">IF(IFERROR(DATE(2027,3,1)&gt;=DATE(2026,10,1)=FALSE(),FALSE()),FALSE(),IF(IFERROR(DATE(2027,3,1)&lt;=DATE(2027,12,1)=FALSE(),FALSE()),FALSE(),IF(IFERROR('Model inputs'!B370=FALSE(),FALSE()),FALSE(),IF('Model inputs'!B370="","",AND(DATE(2027,3,1)&gt;=DATE(2026,10,1),DATE(2027,3,1)&lt;=DATE(2027,12,1),'Model inputs'!B370)))))</f>
        <v>0</v>
      </c>
    </row>
    <row r="372" customFormat="false" ht="18" hidden="false" customHeight="false" outlineLevel="0" collapsed="false">
      <c r="A372" s="27" t="s">
        <v>438</v>
      </c>
      <c r="B372" s="0" t="b">
        <f aca="false">IF(ISERROR('Gainsay economics · Gainsay ope'!H12&lt;0),'Gainsay economics · Gainsay ope'!H12&lt;0,IF('Gainsay economics · Gainsay ope'!H12="","",'Gainsay economics · Gainsay ope'!H12&lt;0))</f>
        <v>0</v>
      </c>
    </row>
    <row r="373" customFormat="false" ht="18" hidden="false" customHeight="false" outlineLevel="0" collapsed="false">
      <c r="A373" s="27" t="s">
        <v>438</v>
      </c>
      <c r="B373" s="0" t="b">
        <f aca="false">IF(IFERROR(DATE(2027,4,1)&gt;=DATE(2026,10,1)=FALSE(),FALSE()),FALSE(),IF(IFERROR(DATE(2027,4,1)&lt;=DATE(2027,12,1)=FALSE(),FALSE()),FALSE(),IF(IFERROR('Model inputs'!B372=FALSE(),FALSE()),FALSE(),IF('Model inputs'!B372="","",AND(DATE(2027,4,1)&gt;=DATE(2026,10,1),DATE(2027,4,1)&lt;=DATE(2027,12,1),'Model inputs'!B372)))))</f>
        <v>0</v>
      </c>
    </row>
    <row r="374" customFormat="false" ht="18" hidden="false" customHeight="false" outlineLevel="0" collapsed="false">
      <c r="A374" s="27" t="s">
        <v>438</v>
      </c>
      <c r="B374" s="0" t="b">
        <f aca="false">IF(ISERROR('Gainsay economics · Gainsay ope'!I12&lt;0),'Gainsay economics · Gainsay ope'!I12&lt;0,IF('Gainsay economics · Gainsay ope'!I12="","",'Gainsay economics · Gainsay ope'!I12&lt;0))</f>
        <v>0</v>
      </c>
    </row>
    <row r="375" customFormat="false" ht="18" hidden="false" customHeight="false" outlineLevel="0" collapsed="false">
      <c r="A375" s="27" t="s">
        <v>438</v>
      </c>
      <c r="B375" s="0" t="b">
        <f aca="false">IF(IFERROR(DATE(2027,5,1)&gt;=DATE(2026,10,1)=FALSE(),FALSE()),FALSE(),IF(IFERROR(DATE(2027,5,1)&lt;=DATE(2027,12,1)=FALSE(),FALSE()),FALSE(),IF(IFERROR('Model inputs'!B374=FALSE(),FALSE()),FALSE(),IF('Model inputs'!B374="","",AND(DATE(2027,5,1)&gt;=DATE(2026,10,1),DATE(2027,5,1)&lt;=DATE(2027,12,1),'Model inputs'!B374)))))</f>
        <v>0</v>
      </c>
    </row>
    <row r="376" customFormat="false" ht="18" hidden="false" customHeight="false" outlineLevel="0" collapsed="false">
      <c r="A376" s="27" t="s">
        <v>438</v>
      </c>
      <c r="B376" s="0" t="b">
        <f aca="false">IF(ISERROR('Gainsay economics · Gainsay ope'!J12&lt;0),'Gainsay economics · Gainsay ope'!J12&lt;0,IF('Gainsay economics · Gainsay ope'!J12="","",'Gainsay economics · Gainsay ope'!J12&lt;0))</f>
        <v>1</v>
      </c>
    </row>
    <row r="377" customFormat="false" ht="18" hidden="false" customHeight="false" outlineLevel="0" collapsed="false">
      <c r="A377" s="27" t="s">
        <v>438</v>
      </c>
      <c r="B377" s="0" t="b">
        <f aca="false">IF(IFERROR(DATE(2027,6,1)&gt;=DATE(2026,10,1)=FALSE(),FALSE()),FALSE(),IF(IFERROR(DATE(2027,6,1)&lt;=DATE(2027,12,1)=FALSE(),FALSE()),FALSE(),IF(IFERROR('Model inputs'!B376=FALSE(),FALSE()),FALSE(),IF('Model inputs'!B376="","",AND(DATE(2027,6,1)&gt;=DATE(2026,10,1),DATE(2027,6,1)&lt;=DATE(2027,12,1),'Model inputs'!B376)))))</f>
        <v>1</v>
      </c>
    </row>
    <row r="378" customFormat="false" ht="18" hidden="false" customHeight="false" outlineLevel="0" collapsed="false">
      <c r="A378" s="27" t="s">
        <v>438</v>
      </c>
      <c r="B378" s="0" t="b">
        <f aca="false">IF(ISERROR('Gainsay economics · Gainsay ope'!K12&lt;0),'Gainsay economics · Gainsay ope'!K12&lt;0,IF('Gainsay economics · Gainsay ope'!K12="","",'Gainsay economics · Gainsay ope'!K12&lt;0))</f>
        <v>1</v>
      </c>
    </row>
    <row r="379" customFormat="false" ht="18" hidden="false" customHeight="false" outlineLevel="0" collapsed="false">
      <c r="A379" s="27" t="s">
        <v>438</v>
      </c>
      <c r="B379" s="0" t="b">
        <f aca="false">IF(IFERROR(DATE(2027,7,1)&gt;=DATE(2026,10,1)=FALSE(),FALSE()),FALSE(),IF(IFERROR(DATE(2027,7,1)&lt;=DATE(2027,12,1)=FALSE(),FALSE()),FALSE(),IF(IFERROR('Model inputs'!B378=FALSE(),FALSE()),FALSE(),IF('Model inputs'!B378="","",AND(DATE(2027,7,1)&gt;=DATE(2026,10,1),DATE(2027,7,1)&lt;=DATE(2027,12,1),'Model inputs'!B378)))))</f>
        <v>1</v>
      </c>
    </row>
    <row r="380" customFormat="false" ht="18" hidden="false" customHeight="false" outlineLevel="0" collapsed="false">
      <c r="A380" s="27" t="s">
        <v>438</v>
      </c>
      <c r="B380" s="0" t="b">
        <f aca="false">IF(ISERROR('Gainsay economics · Gainsay ope'!L12&lt;0),'Gainsay economics · Gainsay ope'!L12&lt;0,IF('Gainsay economics · Gainsay ope'!L12="","",'Gainsay economics · Gainsay ope'!L12&lt;0))</f>
        <v>0</v>
      </c>
    </row>
    <row r="381" customFormat="false" ht="18" hidden="false" customHeight="false" outlineLevel="0" collapsed="false">
      <c r="A381" s="27" t="s">
        <v>438</v>
      </c>
      <c r="B381" s="0" t="b">
        <f aca="false">IF(IFERROR(DATE(2027,8,1)&gt;=DATE(2026,10,1)=FALSE(),FALSE()),FALSE(),IF(IFERROR(DATE(2027,8,1)&lt;=DATE(2027,12,1)=FALSE(),FALSE()),FALSE(),IF(IFERROR('Model inputs'!B380=FALSE(),FALSE()),FALSE(),IF('Model inputs'!B380="","",AND(DATE(2027,8,1)&gt;=DATE(2026,10,1),DATE(2027,8,1)&lt;=DATE(2027,12,1),'Model inputs'!B380)))))</f>
        <v>0</v>
      </c>
    </row>
    <row r="382" customFormat="false" ht="18" hidden="false" customHeight="false" outlineLevel="0" collapsed="false">
      <c r="A382" s="27" t="s">
        <v>438</v>
      </c>
      <c r="B382" s="0" t="b">
        <f aca="false">IF(ISERROR('Gainsay economics · Gainsay ope'!M12&lt;0),'Gainsay economics · Gainsay ope'!M12&lt;0,IF('Gainsay economics · Gainsay ope'!M12="","",'Gainsay economics · Gainsay ope'!M12&lt;0))</f>
        <v>0</v>
      </c>
    </row>
    <row r="383" customFormat="false" ht="18" hidden="false" customHeight="false" outlineLevel="0" collapsed="false">
      <c r="A383" s="27" t="s">
        <v>438</v>
      </c>
      <c r="B383" s="0" t="b">
        <f aca="false">IF(IFERROR(DATE(2027,9,1)&gt;=DATE(2026,10,1)=FALSE(),FALSE()),FALSE(),IF(IFERROR(DATE(2027,9,1)&lt;=DATE(2027,12,1)=FALSE(),FALSE()),FALSE(),IF(IFERROR('Model inputs'!B382=FALSE(),FALSE()),FALSE(),IF('Model inputs'!B382="","",AND(DATE(2027,9,1)&gt;=DATE(2026,10,1),DATE(2027,9,1)&lt;=DATE(2027,12,1),'Model inputs'!B382)))))</f>
        <v>0</v>
      </c>
    </row>
    <row r="384" customFormat="false" ht="18" hidden="false" customHeight="false" outlineLevel="0" collapsed="false">
      <c r="A384" s="27" t="s">
        <v>438</v>
      </c>
      <c r="B384" s="0" t="b">
        <f aca="false">IF(ISERROR('Gainsay economics · Gainsay ope'!N12&lt;0),'Gainsay economics · Gainsay ope'!N12&lt;0,IF('Gainsay economics · Gainsay ope'!N12="","",'Gainsay economics · Gainsay ope'!N12&lt;0))</f>
        <v>0</v>
      </c>
    </row>
    <row r="385" customFormat="false" ht="18" hidden="false" customHeight="false" outlineLevel="0" collapsed="false">
      <c r="A385" s="27" t="s">
        <v>438</v>
      </c>
      <c r="B385" s="0" t="b">
        <f aca="false">IF(IFERROR(DATE(2027,10,1)&gt;=DATE(2026,10,1)=FALSE(),FALSE()),FALSE(),IF(IFERROR(DATE(2027,10,1)&lt;=DATE(2027,12,1)=FALSE(),FALSE()),FALSE(),IF(IFERROR('Model inputs'!B384=FALSE(),FALSE()),FALSE(),IF('Model inputs'!B384="","",AND(DATE(2027,10,1)&gt;=DATE(2026,10,1),DATE(2027,10,1)&lt;=DATE(2027,12,1),'Model inputs'!B384)))))</f>
        <v>0</v>
      </c>
    </row>
    <row r="386" customFormat="false" ht="18" hidden="false" customHeight="false" outlineLevel="0" collapsed="false">
      <c r="A386" s="27" t="s">
        <v>438</v>
      </c>
      <c r="B386" s="0" t="b">
        <f aca="false">IF(ISERROR('Gainsay economics · Gainsay ope'!O12&lt;0),'Gainsay economics · Gainsay ope'!O12&lt;0,IF('Gainsay economics · Gainsay ope'!O12="","",'Gainsay economics · Gainsay ope'!O12&lt;0))</f>
        <v>0</v>
      </c>
    </row>
    <row r="387" customFormat="false" ht="18" hidden="false" customHeight="false" outlineLevel="0" collapsed="false">
      <c r="A387" s="27" t="s">
        <v>438</v>
      </c>
      <c r="B387" s="0" t="b">
        <f aca="false">IF(IFERROR(DATE(2027,11,1)&gt;=DATE(2026,10,1)=FALSE(),FALSE()),FALSE(),IF(IFERROR(DATE(2027,11,1)&lt;=DATE(2027,12,1)=FALSE(),FALSE()),FALSE(),IF(IFERROR('Model inputs'!B386=FALSE(),FALSE()),FALSE(),IF('Model inputs'!B386="","",AND(DATE(2027,11,1)&gt;=DATE(2026,10,1),DATE(2027,11,1)&lt;=DATE(2027,12,1),'Model inputs'!B386)))))</f>
        <v>0</v>
      </c>
    </row>
    <row r="388" customFormat="false" ht="18" hidden="false" customHeight="false" outlineLevel="0" collapsed="false">
      <c r="A388" s="27" t="s">
        <v>438</v>
      </c>
      <c r="B388" s="0" t="b">
        <f aca="false">IF(ISERROR('Gainsay economics · Gainsay ope'!P12&lt;0),'Gainsay economics · Gainsay ope'!P12&lt;0,IF('Gainsay economics · Gainsay ope'!P12="","",'Gainsay economics · Gainsay ope'!P12&lt;0))</f>
        <v>0</v>
      </c>
    </row>
    <row r="389" customFormat="false" ht="18" hidden="false" customHeight="false" outlineLevel="0" collapsed="false">
      <c r="A389" s="27" t="s">
        <v>438</v>
      </c>
      <c r="B389" s="0" t="b">
        <f aca="false">IF(IFERROR(DATE(2027,12,1)&gt;=DATE(2026,10,1)=FALSE(),FALSE()),FALSE(),IF(IFERROR(DATE(2027,12,1)&lt;=DATE(2027,12,1)=FALSE(),FALSE()),FALSE(),IF(IFERROR('Model inputs'!B388=FALSE(),FALSE()),FALSE(),IF('Model inputs'!B388="","",AND(DATE(2027,12,1)&gt;=DATE(2026,10,1),DATE(2027,12,1)&lt;=DATE(2027,12,1),'Model inputs'!B388)))))</f>
        <v>0</v>
      </c>
    </row>
    <row r="390" customFormat="false" ht="18" hidden="false" customHeight="false" outlineLevel="0" collapsed="false">
      <c r="A390" s="27" t="s">
        <v>438</v>
      </c>
      <c r="B390" s="0" t="b">
        <f aca="false">IF(IFERROR(DATE(2026,1,1)&gt;=DATE(2026,10,1)=FALSE(),FALSE()),FALSE(),IF(IFERROR(DATE(2026,1,1)&lt;=DATE(2027,12,1)=FALSE(),FALSE()),FALSE(),IF(IFERROR(IF(ISERROR('Model inputs'!B32&lt;0),'Model inputs'!B32&lt;0,IF('Model inputs'!B32="","",'Model inputs'!B32&lt;0))=FALSE(),FALSE()),FALSE(),IF(IF(ISERROR('Model inputs'!B32&lt;0),'Model inputs'!B32&lt;0,IF('Model inputs'!B32="","",'Model inputs'!B32&lt;0))="","",AND(DATE(2026,1,1)&gt;=DATE(2026,10,1),DATE(2026,1,1)&lt;=DATE(2027,12,1),IF(ISERROR('Model inputs'!B32&lt;0),'Model inputs'!B32&lt;0,IF('Model inputs'!B32="","",'Model inputs'!B32&lt;0)))))))</f>
        <v>0</v>
      </c>
    </row>
    <row r="391" customFormat="false" ht="18" hidden="false" customHeight="false" outlineLevel="0" collapsed="false">
      <c r="A391" s="27" t="s">
        <v>438</v>
      </c>
      <c r="B391" s="0" t="b">
        <f aca="false">IF(IFERROR(DATE(2026,2,1)&gt;=DATE(2026,10,1)=FALSE(),FALSE()),FALSE(),IF(IFERROR(DATE(2026,2,1)&lt;=DATE(2027,12,1)=FALSE(),FALSE()),FALSE(),IF(IFERROR(IF(ISERROR('Model inputs'!C32&lt;0),'Model inputs'!C32&lt;0,IF('Model inputs'!C32="","",'Model inputs'!C32&lt;0))=FALSE(),FALSE()),FALSE(),IF(IF(ISERROR('Model inputs'!C32&lt;0),'Model inputs'!C32&lt;0,IF('Model inputs'!C32="","",'Model inputs'!C32&lt;0))="","",AND(DATE(2026,2,1)&gt;=DATE(2026,10,1),DATE(2026,2,1)&lt;=DATE(2027,12,1),IF(ISERROR('Model inputs'!C32&lt;0),'Model inputs'!C32&lt;0,IF('Model inputs'!C32="","",'Model inputs'!C32&lt;0)))))))</f>
        <v>0</v>
      </c>
    </row>
    <row r="392" customFormat="false" ht="18" hidden="false" customHeight="false" outlineLevel="0" collapsed="false">
      <c r="A392" s="27" t="s">
        <v>438</v>
      </c>
      <c r="B392" s="0" t="b">
        <f aca="false">IF(IFERROR(DATE(2026,3,1)&gt;=DATE(2026,10,1)=FALSE(),FALSE()),FALSE(),IF(IFERROR(DATE(2026,3,1)&lt;=DATE(2027,12,1)=FALSE(),FALSE()),FALSE(),IF(IFERROR(IF(ISERROR('Model inputs'!D32&lt;0),'Model inputs'!D32&lt;0,IF('Model inputs'!D32="","",'Model inputs'!D32&lt;0))=FALSE(),FALSE()),FALSE(),IF(IF(ISERROR('Model inputs'!D32&lt;0),'Model inputs'!D32&lt;0,IF('Model inputs'!D32="","",'Model inputs'!D32&lt;0))="","",AND(DATE(2026,3,1)&gt;=DATE(2026,10,1),DATE(2026,3,1)&lt;=DATE(2027,12,1),IF(ISERROR('Model inputs'!D32&lt;0),'Model inputs'!D32&lt;0,IF('Model inputs'!D32="","",'Model inputs'!D32&lt;0)))))))</f>
        <v>0</v>
      </c>
    </row>
    <row r="393" customFormat="false" ht="18" hidden="false" customHeight="false" outlineLevel="0" collapsed="false">
      <c r="A393" s="27" t="s">
        <v>438</v>
      </c>
      <c r="B393" s="0" t="b">
        <f aca="false">IF(IFERROR(DATE(2026,4,1)&gt;=DATE(2026,10,1)=FALSE(),FALSE()),FALSE(),IF(IFERROR(DATE(2026,4,1)&lt;=DATE(2027,12,1)=FALSE(),FALSE()),FALSE(),IF(IFERROR(IF(ISERROR('Model inputs'!E32&lt;0),'Model inputs'!E32&lt;0,IF('Model inputs'!E32="","",'Model inputs'!E32&lt;0))=FALSE(),FALSE()),FALSE(),IF(IF(ISERROR('Model inputs'!E32&lt;0),'Model inputs'!E32&lt;0,IF('Model inputs'!E32="","",'Model inputs'!E32&lt;0))="","",AND(DATE(2026,4,1)&gt;=DATE(2026,10,1),DATE(2026,4,1)&lt;=DATE(2027,12,1),IF(ISERROR('Model inputs'!E32&lt;0),'Model inputs'!E32&lt;0,IF('Model inputs'!E32="","",'Model inputs'!E32&lt;0)))))))</f>
        <v>0</v>
      </c>
    </row>
    <row r="394" customFormat="false" ht="18" hidden="false" customHeight="false" outlineLevel="0" collapsed="false">
      <c r="A394" s="27" t="s">
        <v>438</v>
      </c>
      <c r="B394" s="0" t="b">
        <f aca="false">IF(IFERROR(DATE(2026,5,1)&gt;=DATE(2026,10,1)=FALSE(),FALSE()),FALSE(),IF(IFERROR(DATE(2026,5,1)&lt;=DATE(2027,12,1)=FALSE(),FALSE()),FALSE(),IF(IFERROR(IF(ISERROR('Model inputs'!F32&lt;0),'Model inputs'!F32&lt;0,IF('Model inputs'!F32="","",'Model inputs'!F32&lt;0))=FALSE(),FALSE()),FALSE(),IF(IF(ISERROR('Model inputs'!F32&lt;0),'Model inputs'!F32&lt;0,IF('Model inputs'!F32="","",'Model inputs'!F32&lt;0))="","",AND(DATE(2026,5,1)&gt;=DATE(2026,10,1),DATE(2026,5,1)&lt;=DATE(2027,12,1),IF(ISERROR('Model inputs'!F32&lt;0),'Model inputs'!F32&lt;0,IF('Model inputs'!F32="","",'Model inputs'!F32&lt;0)))))))</f>
        <v>0</v>
      </c>
    </row>
    <row r="395" customFormat="false" ht="18" hidden="false" customHeight="false" outlineLevel="0" collapsed="false">
      <c r="A395" s="27" t="s">
        <v>438</v>
      </c>
      <c r="B395" s="0" t="b">
        <f aca="false">IF(IFERROR(DATE(2026,6,1)&gt;=DATE(2026,10,1)=FALSE(),FALSE()),FALSE(),IF(IFERROR(DATE(2026,6,1)&lt;=DATE(2027,12,1)=FALSE(),FALSE()),FALSE(),IF(IFERROR(IF(ISERROR('Model inputs'!G32&lt;0),'Model inputs'!G32&lt;0,IF('Model inputs'!G32="","",'Model inputs'!G32&lt;0))=FALSE(),FALSE()),FALSE(),IF(IF(ISERROR('Model inputs'!G32&lt;0),'Model inputs'!G32&lt;0,IF('Model inputs'!G32="","",'Model inputs'!G32&lt;0))="","",AND(DATE(2026,6,1)&gt;=DATE(2026,10,1),DATE(2026,6,1)&lt;=DATE(2027,12,1),IF(ISERROR('Model inputs'!G32&lt;0),'Model inputs'!G32&lt;0,IF('Model inputs'!G32="","",'Model inputs'!G32&lt;0)))))))</f>
        <v>0</v>
      </c>
    </row>
    <row r="396" customFormat="false" ht="18" hidden="false" customHeight="false" outlineLevel="0" collapsed="false">
      <c r="A396" s="27" t="s">
        <v>438</v>
      </c>
      <c r="B396" s="0" t="b">
        <f aca="false">IF(IFERROR(DATE(2026,7,1)&gt;=DATE(2026,10,1)=FALSE(),FALSE()),FALSE(),IF(IFERROR(DATE(2026,7,1)&lt;=DATE(2027,12,1)=FALSE(),FALSE()),FALSE(),IF(IFERROR(IF(ISERROR('Model inputs'!H32&lt;0),'Model inputs'!H32&lt;0,IF('Model inputs'!H32="","",'Model inputs'!H32&lt;0))=FALSE(),FALSE()),FALSE(),IF(IF(ISERROR('Model inputs'!H32&lt;0),'Model inputs'!H32&lt;0,IF('Model inputs'!H32="","",'Model inputs'!H32&lt;0))="","",AND(DATE(2026,7,1)&gt;=DATE(2026,10,1),DATE(2026,7,1)&lt;=DATE(2027,12,1),IF(ISERROR('Model inputs'!H32&lt;0),'Model inputs'!H32&lt;0,IF('Model inputs'!H32="","",'Model inputs'!H32&lt;0)))))))</f>
        <v>0</v>
      </c>
    </row>
    <row r="397" customFormat="false" ht="18" hidden="false" customHeight="false" outlineLevel="0" collapsed="false">
      <c r="A397" s="27" t="s">
        <v>438</v>
      </c>
      <c r="B397" s="0" t="b">
        <f aca="false">IF(IFERROR(DATE(2026,8,1)&gt;=DATE(2026,10,1)=FALSE(),FALSE()),FALSE(),IF(IFERROR(DATE(2026,8,1)&lt;=DATE(2027,12,1)=FALSE(),FALSE()),FALSE(),IF(IFERROR(IF(ISERROR('Model inputs'!I32&lt;0),'Model inputs'!I32&lt;0,IF('Model inputs'!I32="","",'Model inputs'!I32&lt;0))=FALSE(),FALSE()),FALSE(),IF(IF(ISERROR('Model inputs'!I32&lt;0),'Model inputs'!I32&lt;0,IF('Model inputs'!I32="","",'Model inputs'!I32&lt;0))="","",AND(DATE(2026,8,1)&gt;=DATE(2026,10,1),DATE(2026,8,1)&lt;=DATE(2027,12,1),IF(ISERROR('Model inputs'!I32&lt;0),'Model inputs'!I32&lt;0,IF('Model inputs'!I32="","",'Model inputs'!I32&lt;0)))))))</f>
        <v>0</v>
      </c>
    </row>
    <row r="398" customFormat="false" ht="18" hidden="false" customHeight="false" outlineLevel="0" collapsed="false">
      <c r="A398" s="27" t="s">
        <v>438</v>
      </c>
      <c r="B398" s="0" t="b">
        <f aca="false">IF(IFERROR(DATE(2026,9,1)&gt;=DATE(2026,10,1)=FALSE(),FALSE()),FALSE(),IF(IFERROR(DATE(2026,9,1)&lt;=DATE(2027,12,1)=FALSE(),FALSE()),FALSE(),IF(IFERROR(IF(ISERROR('Model inputs'!J32&lt;0),'Model inputs'!J32&lt;0,IF('Model inputs'!J32="","",'Model inputs'!J32&lt;0))=FALSE(),FALSE()),FALSE(),IF(IF(ISERROR('Model inputs'!J32&lt;0),'Model inputs'!J32&lt;0,IF('Model inputs'!J32="","",'Model inputs'!J32&lt;0))="","",AND(DATE(2026,9,1)&gt;=DATE(2026,10,1),DATE(2026,9,1)&lt;=DATE(2027,12,1),IF(ISERROR('Model inputs'!J32&lt;0),'Model inputs'!J32&lt;0,IF('Model inputs'!J32="","",'Model inputs'!J32&lt;0)))))))</f>
        <v>0</v>
      </c>
    </row>
    <row r="399" customFormat="false" ht="18" hidden="false" customHeight="false" outlineLevel="0" collapsed="false">
      <c r="A399" s="27" t="s">
        <v>438</v>
      </c>
      <c r="B399" s="0" t="str">
        <f aca="false">IF(IF('Model inputs'!B361="",FALSE(),'Model inputs'!B361),'Gainsay economics · Gainsay ope'!B42,"")</f>
        <v/>
      </c>
    </row>
    <row r="400" customFormat="false" ht="18" hidden="false" customHeight="false" outlineLevel="0" collapsed="false">
      <c r="A400" s="27" t="s">
        <v>438</v>
      </c>
      <c r="B400" s="0" t="str">
        <f aca="false">IF(IF('Model inputs'!B363="",FALSE(),'Model inputs'!B363),'Gainsay economics · Gainsay ope'!C42,"")</f>
        <v/>
      </c>
    </row>
    <row r="401" customFormat="false" ht="18" hidden="false" customHeight="false" outlineLevel="0" collapsed="false">
      <c r="A401" s="27" t="s">
        <v>438</v>
      </c>
      <c r="B401" s="0" t="str">
        <f aca="false">IF(IF('Model inputs'!B365="",FALSE(),'Model inputs'!B365),'Gainsay economics · Gainsay ope'!D42,"")</f>
        <v/>
      </c>
    </row>
    <row r="402" customFormat="false" ht="18" hidden="false" customHeight="false" outlineLevel="0" collapsed="false">
      <c r="A402" s="27" t="s">
        <v>438</v>
      </c>
      <c r="B402" s="0" t="str">
        <f aca="false">IF(IF('Model inputs'!B367="",FALSE(),'Model inputs'!B367),'Gainsay economics · Gainsay ope'!E42,"")</f>
        <v/>
      </c>
    </row>
    <row r="403" customFormat="false" ht="18" hidden="false" customHeight="false" outlineLevel="0" collapsed="false">
      <c r="A403" s="27" t="s">
        <v>438</v>
      </c>
      <c r="B403" s="0" t="str">
        <f aca="false">IF(IF('Model inputs'!B369="",FALSE(),'Model inputs'!B369),'Gainsay economics · Gainsay ope'!F42,"")</f>
        <v/>
      </c>
    </row>
    <row r="404" customFormat="false" ht="18" hidden="false" customHeight="false" outlineLevel="0" collapsed="false">
      <c r="A404" s="27" t="s">
        <v>438</v>
      </c>
      <c r="B404" s="0" t="str">
        <f aca="false">IF(IF('Model inputs'!B371="",FALSE(),'Model inputs'!B371),'Gainsay economics · Gainsay ope'!G42,"")</f>
        <v/>
      </c>
    </row>
    <row r="405" customFormat="false" ht="18" hidden="false" customHeight="false" outlineLevel="0" collapsed="false">
      <c r="A405" s="27" t="s">
        <v>438</v>
      </c>
      <c r="B405" s="0" t="str">
        <f aca="false">IF(IF('Model inputs'!B373="",FALSE(),'Model inputs'!B373),'Gainsay economics · Gainsay ope'!H42,"")</f>
        <v/>
      </c>
    </row>
    <row r="406" customFormat="false" ht="18" hidden="false" customHeight="false" outlineLevel="0" collapsed="false">
      <c r="A406" s="27" t="s">
        <v>438</v>
      </c>
      <c r="B406" s="0" t="str">
        <f aca="false">IF(IF('Model inputs'!B375="",FALSE(),'Model inputs'!B375),'Gainsay economics · Gainsay ope'!I42,"")</f>
        <v/>
      </c>
    </row>
    <row r="407" customFormat="false" ht="18" hidden="false" customHeight="false" outlineLevel="0" collapsed="false">
      <c r="A407" s="27" t="s">
        <v>438</v>
      </c>
      <c r="B407" s="0" t="n">
        <f aca="false">IF(IF('Model inputs'!B377="",FALSE(),'Model inputs'!B377),'Gainsay economics · Gainsay ope'!J42,"")</f>
        <v>9</v>
      </c>
    </row>
    <row r="408" customFormat="false" ht="18" hidden="false" customHeight="false" outlineLevel="0" collapsed="false">
      <c r="A408" s="27" t="s">
        <v>438</v>
      </c>
      <c r="B408" s="0" t="n">
        <f aca="false">IF(IF('Model inputs'!B379="",FALSE(),'Model inputs'!B379),'Gainsay economics · Gainsay ope'!K42,"")</f>
        <v>10</v>
      </c>
    </row>
    <row r="409" customFormat="false" ht="18" hidden="false" customHeight="false" outlineLevel="0" collapsed="false">
      <c r="A409" s="27" t="s">
        <v>438</v>
      </c>
      <c r="B409" s="0" t="str">
        <f aca="false">IF(IF('Model inputs'!B381="",FALSE(),'Model inputs'!B381),'Gainsay economics · Gainsay ope'!L42,"")</f>
        <v/>
      </c>
    </row>
    <row r="410" customFormat="false" ht="18" hidden="false" customHeight="false" outlineLevel="0" collapsed="false">
      <c r="A410" s="27" t="s">
        <v>438</v>
      </c>
      <c r="B410" s="0" t="str">
        <f aca="false">IF(IF('Model inputs'!B383="",FALSE(),'Model inputs'!B383),'Gainsay economics · Gainsay ope'!M42,"")</f>
        <v/>
      </c>
    </row>
    <row r="411" customFormat="false" ht="18" hidden="false" customHeight="false" outlineLevel="0" collapsed="false">
      <c r="A411" s="27" t="s">
        <v>438</v>
      </c>
      <c r="B411" s="0" t="str">
        <f aca="false">IF(IF('Model inputs'!B385="",FALSE(),'Model inputs'!B385),'Gainsay economics · Gainsay ope'!N42,"")</f>
        <v/>
      </c>
    </row>
    <row r="412" customFormat="false" ht="18" hidden="false" customHeight="false" outlineLevel="0" collapsed="false">
      <c r="A412" s="27" t="s">
        <v>438</v>
      </c>
      <c r="B412" s="0" t="str">
        <f aca="false">IF(IF('Model inputs'!B387="",FALSE(),'Model inputs'!B387),'Gainsay economics · Gainsay ope'!O42,"")</f>
        <v/>
      </c>
    </row>
    <row r="413" customFormat="false" ht="18" hidden="false" customHeight="false" outlineLevel="0" collapsed="false">
      <c r="A413" s="27" t="s">
        <v>438</v>
      </c>
      <c r="B413" s="0" t="str">
        <f aca="false">IF(IF('Model inputs'!B389="",FALSE(),'Model inputs'!B389),'Gainsay economics · Gainsay ope'!P42,"")</f>
        <v/>
      </c>
    </row>
    <row r="414" customFormat="false" ht="18" hidden="false" customHeight="false" outlineLevel="0" collapsed="false">
      <c r="A414" s="27" t="s">
        <v>438</v>
      </c>
      <c r="B414" s="0" t="str">
        <f aca="false">IF(IF('Model inputs'!B390="",FALSE(),'Model inputs'!B390),'Model inputs'!B97,"")</f>
        <v/>
      </c>
    </row>
    <row r="415" customFormat="false" ht="18" hidden="false" customHeight="false" outlineLevel="0" collapsed="false">
      <c r="A415" s="27" t="s">
        <v>438</v>
      </c>
      <c r="B415" s="0" t="str">
        <f aca="false">IF(IF('Model inputs'!B391="",FALSE(),'Model inputs'!B391),'Model inputs'!C97,"")</f>
        <v/>
      </c>
    </row>
    <row r="416" customFormat="false" ht="18" hidden="false" customHeight="false" outlineLevel="0" collapsed="false">
      <c r="A416" s="27" t="s">
        <v>438</v>
      </c>
      <c r="B416" s="0" t="str">
        <f aca="false">IF(IF('Model inputs'!B392="",FALSE(),'Model inputs'!B392),'Model inputs'!D97,"")</f>
        <v/>
      </c>
    </row>
    <row r="417" customFormat="false" ht="18" hidden="false" customHeight="false" outlineLevel="0" collapsed="false">
      <c r="A417" s="27" t="s">
        <v>438</v>
      </c>
      <c r="B417" s="0" t="str">
        <f aca="false">IF(IF('Model inputs'!B393="",FALSE(),'Model inputs'!B393),'Model inputs'!E97,"")</f>
        <v/>
      </c>
    </row>
    <row r="418" customFormat="false" ht="18" hidden="false" customHeight="false" outlineLevel="0" collapsed="false">
      <c r="A418" s="27" t="s">
        <v>438</v>
      </c>
      <c r="B418" s="0" t="str">
        <f aca="false">IF(IF('Model inputs'!B394="",FALSE(),'Model inputs'!B394),'Model inputs'!F97,"")</f>
        <v/>
      </c>
    </row>
    <row r="419" customFormat="false" ht="18" hidden="false" customHeight="false" outlineLevel="0" collapsed="false">
      <c r="A419" s="27" t="s">
        <v>438</v>
      </c>
      <c r="B419" s="0" t="str">
        <f aca="false">IF(IF('Model inputs'!B395="",FALSE(),'Model inputs'!B395),'Model inputs'!G97,"")</f>
        <v/>
      </c>
    </row>
    <row r="420" customFormat="false" ht="18" hidden="false" customHeight="false" outlineLevel="0" collapsed="false">
      <c r="A420" s="27" t="s">
        <v>438</v>
      </c>
      <c r="B420" s="0" t="str">
        <f aca="false">IF(IF('Model inputs'!B396="",FALSE(),'Model inputs'!B396),'Model inputs'!H97,"")</f>
        <v/>
      </c>
    </row>
    <row r="421" customFormat="false" ht="18" hidden="false" customHeight="false" outlineLevel="0" collapsed="false">
      <c r="A421" s="27" t="s">
        <v>438</v>
      </c>
      <c r="B421" s="0" t="str">
        <f aca="false">IF(IF('Model inputs'!B397="",FALSE(),'Model inputs'!B397),'Model inputs'!I97,"")</f>
        <v/>
      </c>
    </row>
    <row r="422" customFormat="false" ht="18" hidden="false" customHeight="false" outlineLevel="0" collapsed="false">
      <c r="A422" s="27" t="s">
        <v>438</v>
      </c>
      <c r="B422" s="0" t="str">
        <f aca="false">IF(IF('Model inputs'!B398="",FALSE(),'Model inputs'!B398),'Model inputs'!J97,"")</f>
        <v/>
      </c>
    </row>
    <row r="423" customFormat="false" ht="18" hidden="false" customHeight="false" outlineLevel="0" collapsed="false">
      <c r="A423" s="27" t="s">
        <v>438</v>
      </c>
      <c r="B423" s="0" t="n">
        <f aca="false">(IF(AND('Model inputs'!B399="",'Model inputs'!B400="",'Model inputs'!B401="",'Model inputs'!B402="",'Model inputs'!B403="",'Model inputs'!B404="",'Model inputs'!B405="",'Model inputs'!B406="",'Model inputs'!B407="",'Model inputs'!B408="",'Model inputs'!B409="",'Model inputs'!B410="",'Model inputs'!B411="",'Model inputs'!B412="",'Model inputs'!B413="",'Model inputs'!B414="",'Model inputs'!B415="",'Model inputs'!B416="",'Model inputs'!B417="",'Model inputs'!B418="",'Model inputs'!B419="",'Model inputs'!B420="",'Model inputs'!B421="",'Model inputs'!B422=""),"",MIN('Model inputs'!B399,'Model inputs'!B400,'Model inputs'!B401,'Model inputs'!B402,'Model inputs'!B403,'Model inputs'!B404,'Model inputs'!B405,'Model inputs'!B406,'Model inputs'!B407,'Model inputs'!B408,'Model inputs'!B409,'Model inputs'!B410,'Model inputs'!B411,'Model inputs'!B412,'Model inputs'!B413,'Model inputs'!B414,'Model inputs'!B415,'Model inputs'!B416,'Model inputs'!B417,'Model inputs'!B418,'Model inputs'!B419,'Model inputs'!B420,'Model inputs'!B421,'Model inputs'!B422)))</f>
        <v>9</v>
      </c>
    </row>
    <row r="424" customFormat="false" ht="18" hidden="false" customHeight="false" outlineLevel="0" collapsed="false">
      <c r="A424" s="27" t="s">
        <v>438</v>
      </c>
      <c r="B424" s="0" t="b">
        <f aca="false">IF(ISERROR('Gainsay economics · Gainsay ope'!B12=MIN('Gainsay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ope'!B12=MIN('Gainsay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ope'!B12="",MIN('Gainsay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ope'!B12=MIN('Gainsay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25" customFormat="false" ht="18" hidden="false" customHeight="false" outlineLevel="0" collapsed="false">
      <c r="A425" s="27" t="s">
        <v>438</v>
      </c>
      <c r="B425" s="0" t="b">
        <f aca="false">IF(IFERROR(DATE(2026,10,1)&gt;=DATE(2026,10,1)=FALSE(),FALSE()),FALSE(),IF(IFERROR(DATE(2026,10,1)&lt;=DATE(2027,12,1)=FALSE(),FALSE()),FALSE(),IF(IFERROR('Model inputs'!B424=FALSE(),FALSE()),FALSE(),IF('Model inputs'!B424="","",AND(DATE(2026,10,1)&gt;=DATE(2026,10,1),DATE(2026,10,1)&lt;=DATE(2027,12,1),'Model inputs'!B424)))))</f>
        <v>0</v>
      </c>
    </row>
    <row r="426" customFormat="false" ht="18" hidden="false" customHeight="false" outlineLevel="0" collapsed="false">
      <c r="A426" s="27" t="s">
        <v>438</v>
      </c>
      <c r="B426" s="0" t="b">
        <f aca="false">IF(ISERROR('Gainsay economics · Gainsay ope'!C12=MIN('Gainsay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ope'!C12=MIN('Gainsay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ope'!C12="",MIN('Gainsay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ope'!C12=MIN('Gainsay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27" customFormat="false" ht="18" hidden="false" customHeight="false" outlineLevel="0" collapsed="false">
      <c r="A427" s="27" t="s">
        <v>438</v>
      </c>
      <c r="B427" s="0" t="b">
        <f aca="false">IF(IFERROR(DATE(2026,11,1)&gt;=DATE(2026,10,1)=FALSE(),FALSE()),FALSE(),IF(IFERROR(DATE(2026,11,1)&lt;=DATE(2027,12,1)=FALSE(),FALSE()),FALSE(),IF(IFERROR('Model inputs'!B426=FALSE(),FALSE()),FALSE(),IF('Model inputs'!B426="","",AND(DATE(2026,11,1)&gt;=DATE(2026,10,1),DATE(2026,11,1)&lt;=DATE(2027,12,1),'Model inputs'!B426)))))</f>
        <v>0</v>
      </c>
    </row>
    <row r="428" customFormat="false" ht="18" hidden="false" customHeight="false" outlineLevel="0" collapsed="false">
      <c r="A428" s="27" t="s">
        <v>438</v>
      </c>
      <c r="B428" s="0" t="b">
        <f aca="false">IF(ISERROR('Gainsay economics · Gainsay ope'!D12=MIN('Gainsay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ope'!D12=MIN('Gainsay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ope'!D12="",MIN('Gainsay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ope'!D12=MIN('Gainsay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29" customFormat="false" ht="18" hidden="false" customHeight="false" outlineLevel="0" collapsed="false">
      <c r="A429" s="27" t="s">
        <v>438</v>
      </c>
      <c r="B429" s="0" t="b">
        <f aca="false">IF(IFERROR(DATE(2026,12,1)&gt;=DATE(2026,10,1)=FALSE(),FALSE()),FALSE(),IF(IFERROR(DATE(2026,12,1)&lt;=DATE(2027,12,1)=FALSE(),FALSE()),FALSE(),IF(IFERROR('Model inputs'!B428=FALSE(),FALSE()),FALSE(),IF('Model inputs'!B428="","",AND(DATE(2026,12,1)&gt;=DATE(2026,10,1),DATE(2026,12,1)&lt;=DATE(2027,12,1),'Model inputs'!B428)))))</f>
        <v>0</v>
      </c>
    </row>
    <row r="430" customFormat="false" ht="18" hidden="false" customHeight="false" outlineLevel="0" collapsed="false">
      <c r="A430" s="27" t="s">
        <v>438</v>
      </c>
      <c r="B430" s="0" t="b">
        <f aca="false">IF(ISERROR('Gainsay economics · Gainsay ope'!E12=MIN('Gainsay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ope'!E12=MIN('Gainsay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ope'!E12="",MIN('Gainsay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ope'!E12=MIN('Gainsay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31" customFormat="false" ht="18" hidden="false" customHeight="false" outlineLevel="0" collapsed="false">
      <c r="A431" s="27" t="s">
        <v>438</v>
      </c>
      <c r="B431" s="0" t="b">
        <f aca="false">IF(IFERROR(DATE(2027,1,1)&gt;=DATE(2026,10,1)=FALSE(),FALSE()),FALSE(),IF(IFERROR(DATE(2027,1,1)&lt;=DATE(2027,12,1)=FALSE(),FALSE()),FALSE(),IF(IFERROR('Model inputs'!B430=FALSE(),FALSE()),FALSE(),IF('Model inputs'!B430="","",AND(DATE(2027,1,1)&gt;=DATE(2026,10,1),DATE(2027,1,1)&lt;=DATE(2027,12,1),'Model inputs'!B430)))))</f>
        <v>0</v>
      </c>
    </row>
    <row r="432" customFormat="false" ht="18" hidden="false" customHeight="false" outlineLevel="0" collapsed="false">
      <c r="A432" s="27" t="s">
        <v>438</v>
      </c>
      <c r="B432" s="0" t="b">
        <f aca="false">IF(ISERROR('Gainsay economics · Gainsay ope'!F12=MIN('Gainsay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ope'!F12=MIN('Gainsay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ope'!F12="",MIN('Gainsay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ope'!F12=MIN('Gainsay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33" customFormat="false" ht="18" hidden="false" customHeight="false" outlineLevel="0" collapsed="false">
      <c r="A433" s="27" t="s">
        <v>438</v>
      </c>
      <c r="B433" s="0" t="b">
        <f aca="false">IF(IFERROR(DATE(2027,2,1)&gt;=DATE(2026,10,1)=FALSE(),FALSE()),FALSE(),IF(IFERROR(DATE(2027,2,1)&lt;=DATE(2027,12,1)=FALSE(),FALSE()),FALSE(),IF(IFERROR('Model inputs'!B432=FALSE(),FALSE()),FALSE(),IF('Model inputs'!B432="","",AND(DATE(2027,2,1)&gt;=DATE(2026,10,1),DATE(2027,2,1)&lt;=DATE(2027,12,1),'Model inputs'!B432)))))</f>
        <v>0</v>
      </c>
    </row>
    <row r="434" customFormat="false" ht="18" hidden="false" customHeight="false" outlineLevel="0" collapsed="false">
      <c r="A434" s="27" t="s">
        <v>438</v>
      </c>
      <c r="B434" s="0" t="b">
        <f aca="false">IF(ISERROR('Gainsay economics · Gainsay ope'!G12=MIN('Gainsay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ope'!G12=MIN('Gainsay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ope'!G12="",MIN('Gainsay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ope'!G12=MIN('Gainsay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35" customFormat="false" ht="18" hidden="false" customHeight="false" outlineLevel="0" collapsed="false">
      <c r="A435" s="27" t="s">
        <v>438</v>
      </c>
      <c r="B435" s="0" t="b">
        <f aca="false">IF(IFERROR(DATE(2027,3,1)&gt;=DATE(2026,10,1)=FALSE(),FALSE()),FALSE(),IF(IFERROR(DATE(2027,3,1)&lt;=DATE(2027,12,1)=FALSE(),FALSE()),FALSE(),IF(IFERROR('Model inputs'!B434=FALSE(),FALSE()),FALSE(),IF('Model inputs'!B434="","",AND(DATE(2027,3,1)&gt;=DATE(2026,10,1),DATE(2027,3,1)&lt;=DATE(2027,12,1),'Model inputs'!B434)))))</f>
        <v>0</v>
      </c>
    </row>
    <row r="436" customFormat="false" ht="18" hidden="false" customHeight="false" outlineLevel="0" collapsed="false">
      <c r="A436" s="27" t="s">
        <v>438</v>
      </c>
      <c r="B436" s="0" t="b">
        <f aca="false">IF(ISERROR('Gainsay economics · Gainsay ope'!H12=MIN('Gainsay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ope'!H12=MIN('Gainsay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ope'!H12="",MIN('Gainsay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ope'!H12=MIN('Gainsay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37" customFormat="false" ht="18" hidden="false" customHeight="false" outlineLevel="0" collapsed="false">
      <c r="A437" s="27" t="s">
        <v>438</v>
      </c>
      <c r="B437" s="0" t="b">
        <f aca="false">IF(IFERROR(DATE(2027,4,1)&gt;=DATE(2026,10,1)=FALSE(),FALSE()),FALSE(),IF(IFERROR(DATE(2027,4,1)&lt;=DATE(2027,12,1)=FALSE(),FALSE()),FALSE(),IF(IFERROR('Model inputs'!B436=FALSE(),FALSE()),FALSE(),IF('Model inputs'!B436="","",AND(DATE(2027,4,1)&gt;=DATE(2026,10,1),DATE(2027,4,1)&lt;=DATE(2027,12,1),'Model inputs'!B436)))))</f>
        <v>0</v>
      </c>
    </row>
    <row r="438" customFormat="false" ht="18" hidden="false" customHeight="false" outlineLevel="0" collapsed="false">
      <c r="A438" s="27" t="s">
        <v>438</v>
      </c>
      <c r="B438" s="0" t="b">
        <f aca="false">IF(ISERROR('Gainsay economics · Gainsay ope'!I12=MIN('Gainsay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ope'!I12=MIN('Gainsay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ope'!I12="",MIN('Gainsay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ope'!I12=MIN('Gainsay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39" customFormat="false" ht="18" hidden="false" customHeight="false" outlineLevel="0" collapsed="false">
      <c r="A439" s="27" t="s">
        <v>438</v>
      </c>
      <c r="B439" s="0" t="b">
        <f aca="false">IF(IFERROR(DATE(2027,5,1)&gt;=DATE(2026,10,1)=FALSE(),FALSE()),FALSE(),IF(IFERROR(DATE(2027,5,1)&lt;=DATE(2027,12,1)=FALSE(),FALSE()),FALSE(),IF(IFERROR('Model inputs'!B438=FALSE(),FALSE()),FALSE(),IF('Model inputs'!B438="","",AND(DATE(2027,5,1)&gt;=DATE(2026,10,1),DATE(2027,5,1)&lt;=DATE(2027,12,1),'Model inputs'!B438)))))</f>
        <v>0</v>
      </c>
    </row>
    <row r="440" customFormat="false" ht="18" hidden="false" customHeight="false" outlineLevel="0" collapsed="false">
      <c r="A440" s="27" t="s">
        <v>438</v>
      </c>
      <c r="B440" s="0" t="b">
        <f aca="false">IF(ISERROR('Gainsay economics · Gainsay ope'!J12=MIN('Gainsay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ope'!J12=MIN('Gainsay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ope'!J12="",MIN('Gainsay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ope'!J12=MIN('Gainsay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41" customFormat="false" ht="18" hidden="false" customHeight="false" outlineLevel="0" collapsed="false">
      <c r="A441" s="27" t="s">
        <v>438</v>
      </c>
      <c r="B441" s="0" t="b">
        <f aca="false">IF(IFERROR(DATE(2027,6,1)&gt;=DATE(2026,10,1)=FALSE(),FALSE()),FALSE(),IF(IFERROR(DATE(2027,6,1)&lt;=DATE(2027,12,1)=FALSE(),FALSE()),FALSE(),IF(IFERROR('Model inputs'!B440=FALSE(),FALSE()),FALSE(),IF('Model inputs'!B440="","",AND(DATE(2027,6,1)&gt;=DATE(2026,10,1),DATE(2027,6,1)&lt;=DATE(2027,12,1),'Model inputs'!B440)))))</f>
        <v>0</v>
      </c>
    </row>
    <row r="442" customFormat="false" ht="18" hidden="false" customHeight="false" outlineLevel="0" collapsed="false">
      <c r="A442" s="27" t="s">
        <v>438</v>
      </c>
      <c r="B442" s="0" t="b">
        <f aca="false">IF(ISERROR('Gainsay economics · Gainsay ope'!K12=MIN('Gainsay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ope'!K12=MIN('Gainsay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ope'!K12="",MIN('Gainsay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ope'!K12=MIN('Gainsay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1</v>
      </c>
    </row>
    <row r="443" customFormat="false" ht="18" hidden="false" customHeight="false" outlineLevel="0" collapsed="false">
      <c r="A443" s="27" t="s">
        <v>438</v>
      </c>
      <c r="B443" s="0" t="b">
        <f aca="false">IF(IFERROR(DATE(2027,7,1)&gt;=DATE(2026,10,1)=FALSE(),FALSE()),FALSE(),IF(IFERROR(DATE(2027,7,1)&lt;=DATE(2027,12,1)=FALSE(),FALSE()),FALSE(),IF(IFERROR('Model inputs'!B442=FALSE(),FALSE()),FALSE(),IF('Model inputs'!B442="","",AND(DATE(2027,7,1)&gt;=DATE(2026,10,1),DATE(2027,7,1)&lt;=DATE(2027,12,1),'Model inputs'!B442)))))</f>
        <v>1</v>
      </c>
    </row>
    <row r="444" customFormat="false" ht="18" hidden="false" customHeight="false" outlineLevel="0" collapsed="false">
      <c r="A444" s="27" t="s">
        <v>438</v>
      </c>
      <c r="B444" s="0" t="b">
        <f aca="false">IF(ISERROR('Gainsay economics · Gainsay ope'!L12=MIN('Gainsay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ope'!L12=MIN('Gainsay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ope'!L12="",MIN('Gainsay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ope'!L12=MIN('Gainsay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45" customFormat="false" ht="18" hidden="false" customHeight="false" outlineLevel="0" collapsed="false">
      <c r="A445" s="27" t="s">
        <v>438</v>
      </c>
      <c r="B445" s="0" t="b">
        <f aca="false">IF(IFERROR(DATE(2027,8,1)&gt;=DATE(2026,10,1)=FALSE(),FALSE()),FALSE(),IF(IFERROR(DATE(2027,8,1)&lt;=DATE(2027,12,1)=FALSE(),FALSE()),FALSE(),IF(IFERROR('Model inputs'!B444=FALSE(),FALSE()),FALSE(),IF('Model inputs'!B444="","",AND(DATE(2027,8,1)&gt;=DATE(2026,10,1),DATE(2027,8,1)&lt;=DATE(2027,12,1),'Model inputs'!B444)))))</f>
        <v>0</v>
      </c>
    </row>
    <row r="446" customFormat="false" ht="18" hidden="false" customHeight="false" outlineLevel="0" collapsed="false">
      <c r="A446" s="27" t="s">
        <v>438</v>
      </c>
      <c r="B446" s="0" t="b">
        <f aca="false">IF(ISERROR('Gainsay economics · Gainsay ope'!M12=MIN('Gainsay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ope'!M12=MIN('Gainsay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ope'!M12="",MIN('Gainsay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ope'!M12=MIN('Gainsay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47" customFormat="false" ht="18" hidden="false" customHeight="false" outlineLevel="0" collapsed="false">
      <c r="A447" s="27" t="s">
        <v>438</v>
      </c>
      <c r="B447" s="0" t="b">
        <f aca="false">IF(IFERROR(DATE(2027,9,1)&gt;=DATE(2026,10,1)=FALSE(),FALSE()),FALSE(),IF(IFERROR(DATE(2027,9,1)&lt;=DATE(2027,12,1)=FALSE(),FALSE()),FALSE(),IF(IFERROR('Model inputs'!B446=FALSE(),FALSE()),FALSE(),IF('Model inputs'!B446="","",AND(DATE(2027,9,1)&gt;=DATE(2026,10,1),DATE(2027,9,1)&lt;=DATE(2027,12,1),'Model inputs'!B446)))))</f>
        <v>0</v>
      </c>
    </row>
    <row r="448" customFormat="false" ht="18" hidden="false" customHeight="false" outlineLevel="0" collapsed="false">
      <c r="A448" s="27" t="s">
        <v>438</v>
      </c>
      <c r="B448" s="0" t="b">
        <f aca="false">IF(ISERROR('Gainsay economics · Gainsay ope'!N12=MIN('Gainsay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ope'!N12=MIN('Gainsay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ope'!N12="",MIN('Gainsay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ope'!N12=MIN('Gainsay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49" customFormat="false" ht="18" hidden="false" customHeight="false" outlineLevel="0" collapsed="false">
      <c r="A449" s="27" t="s">
        <v>438</v>
      </c>
      <c r="B449" s="0" t="b">
        <f aca="false">IF(IFERROR(DATE(2027,10,1)&gt;=DATE(2026,10,1)=FALSE(),FALSE()),FALSE(),IF(IFERROR(DATE(2027,10,1)&lt;=DATE(2027,12,1)=FALSE(),FALSE()),FALSE(),IF(IFERROR('Model inputs'!B448=FALSE(),FALSE()),FALSE(),IF('Model inputs'!B448="","",AND(DATE(2027,10,1)&gt;=DATE(2026,10,1),DATE(2027,10,1)&lt;=DATE(2027,12,1),'Model inputs'!B448)))))</f>
        <v>0</v>
      </c>
    </row>
    <row r="450" customFormat="false" ht="18" hidden="false" customHeight="false" outlineLevel="0" collapsed="false">
      <c r="A450" s="27" t="s">
        <v>438</v>
      </c>
      <c r="B450" s="0" t="b">
        <f aca="false">IF(ISERROR('Gainsay economics · Gainsay ope'!O12=MIN('Gainsay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ope'!O12=MIN('Gainsay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ope'!O12="",MIN('Gainsay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ope'!O12=MIN('Gainsay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51" customFormat="false" ht="18" hidden="false" customHeight="false" outlineLevel="0" collapsed="false">
      <c r="A451" s="27" t="s">
        <v>438</v>
      </c>
      <c r="B451" s="0" t="b">
        <f aca="false">IF(IFERROR(DATE(2027,11,1)&gt;=DATE(2026,10,1)=FALSE(),FALSE()),FALSE(),IF(IFERROR(DATE(2027,11,1)&lt;=DATE(2027,12,1)=FALSE(),FALSE()),FALSE(),IF(IFERROR('Model inputs'!B450=FALSE(),FALSE()),FALSE(),IF('Model inputs'!B450="","",AND(DATE(2027,11,1)&gt;=DATE(2026,10,1),DATE(2027,11,1)&lt;=DATE(2027,12,1),'Model inputs'!B450)))))</f>
        <v>0</v>
      </c>
    </row>
    <row r="452" customFormat="false" ht="18" hidden="false" customHeight="false" outlineLevel="0" collapsed="false">
      <c r="A452" s="27" t="s">
        <v>438</v>
      </c>
      <c r="B452" s="0" t="b">
        <f aca="false">IF(ISERROR('Gainsay economics · Gainsay ope'!P12=MIN('Gainsay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ope'!P12)),'Gainsay economics · Gainsay ope'!P12=MIN('Gainsay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ope'!P12),IF(OR('Gainsay economics · Gainsay ope'!P12="",MIN('Gainsay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ope'!P12)=""),"",'Gainsay economics · Gainsay ope'!P12=MIN('Gainsay economics · Gainsay ope'!B12,'Gainsay economics · Gainsay ope'!C12,'Gainsay economics · Gainsay ope'!D12,'Gainsay economics · Gainsay ope'!E12,'Gainsay economics · Gainsay ope'!F12,'Gainsay economics · Gainsay ope'!G12,'Gainsay economics · Gainsay ope'!H12,'Gainsay economics · Gainsay ope'!I12,'Gainsay economics · Gainsay ope'!J12,'Gainsay economics · Gainsay ope'!K12,'Gainsay economics · Gainsay ope'!L12,'Gainsay economics · Gainsay ope'!M12,'Gainsay economics · Gainsay ope'!N12,'Gainsay economics · Gainsay ope'!O12,'Gainsay economics · Gainsay ope'!P12)))</f>
        <v>0</v>
      </c>
    </row>
    <row r="453" customFormat="false" ht="18" hidden="false" customHeight="false" outlineLevel="0" collapsed="false">
      <c r="A453" s="27" t="s">
        <v>438</v>
      </c>
      <c r="B453" s="0" t="b">
        <f aca="false">IF(IFERROR(DATE(2027,12,1)&gt;=DATE(2026,10,1)=FALSE(),FALSE()),FALSE(),IF(IFERROR(DATE(2027,12,1)&lt;=DATE(2027,12,1)=FALSE(),FALSE()),FALSE(),IF(IFERROR('Model inputs'!B452=FALSE(),FALSE()),FALSE(),IF('Model inputs'!B452="","",AND(DATE(2027,12,1)&gt;=DATE(2026,10,1),DATE(2027,12,1)&lt;=DATE(2027,12,1),'Model inputs'!B452)))))</f>
        <v>0</v>
      </c>
    </row>
    <row r="454" customFormat="false" ht="18" hidden="false" customHeight="false" outlineLevel="0" collapsed="false">
      <c r="A454" s="27" t="s">
        <v>438</v>
      </c>
      <c r="B454" s="0" t="b">
        <f aca="false">IF(ISERROR('Model inputs'!B32=MIN('Model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inputs'!B32=MIN('Model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inputs'!B32="",MIN('Model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inputs'!B32=MIN('Model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55" customFormat="false" ht="18" hidden="false" customHeight="false" outlineLevel="0" collapsed="false">
      <c r="A455" s="27" t="s">
        <v>438</v>
      </c>
      <c r="B455" s="0" t="b">
        <f aca="false">IF(IFERROR(DATE(2026,1,1)&gt;=DATE(2026,10,1)=FALSE(),FALSE()),FALSE(),IF(IFERROR(DATE(2026,1,1)&lt;=DATE(2027,12,1)=FALSE(),FALSE()),FALSE(),IF(IFERROR('Model inputs'!B454=FALSE(),FALSE()),FALSE(),IF('Model inputs'!B454="","",AND(DATE(2026,1,1)&gt;=DATE(2026,10,1),DATE(2026,1,1)&lt;=DATE(2027,12,1),'Model inputs'!B454)))))</f>
        <v>0</v>
      </c>
    </row>
    <row r="456" customFormat="false" ht="18" hidden="false" customHeight="false" outlineLevel="0" collapsed="false">
      <c r="A456" s="27" t="s">
        <v>438</v>
      </c>
      <c r="B456" s="0" t="b">
        <f aca="false">IF(ISERROR('Model inputs'!C32=MIN('Model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inputs'!C32=MIN('Model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inputs'!C32="",MIN('Model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inputs'!C32=MIN('Model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57" customFormat="false" ht="18" hidden="false" customHeight="false" outlineLevel="0" collapsed="false">
      <c r="A457" s="27" t="s">
        <v>438</v>
      </c>
      <c r="B457" s="0" t="b">
        <f aca="false">IF(IFERROR(DATE(2026,2,1)&gt;=DATE(2026,10,1)=FALSE(),FALSE()),FALSE(),IF(IFERROR(DATE(2026,2,1)&lt;=DATE(2027,12,1)=FALSE(),FALSE()),FALSE(),IF(IFERROR('Model inputs'!B456=FALSE(),FALSE()),FALSE(),IF('Model inputs'!B456="","",AND(DATE(2026,2,1)&gt;=DATE(2026,10,1),DATE(2026,2,1)&lt;=DATE(2027,12,1),'Model inputs'!B456)))))</f>
        <v>0</v>
      </c>
    </row>
    <row r="458" customFormat="false" ht="18" hidden="false" customHeight="false" outlineLevel="0" collapsed="false">
      <c r="A458" s="27" t="s">
        <v>438</v>
      </c>
      <c r="B458" s="0" t="b">
        <f aca="false">IF(ISERROR('Model inputs'!D32=MIN('Model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inputs'!D32=MIN('Model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inputs'!D32="",MIN('Model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inputs'!D32=MIN('Model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59" customFormat="false" ht="18" hidden="false" customHeight="false" outlineLevel="0" collapsed="false">
      <c r="A459" s="27" t="s">
        <v>438</v>
      </c>
      <c r="B459" s="0" t="b">
        <f aca="false">IF(IFERROR(DATE(2026,3,1)&gt;=DATE(2026,10,1)=FALSE(),FALSE()),FALSE(),IF(IFERROR(DATE(2026,3,1)&lt;=DATE(2027,12,1)=FALSE(),FALSE()),FALSE(),IF(IFERROR('Model inputs'!B458=FALSE(),FALSE()),FALSE(),IF('Model inputs'!B458="","",AND(DATE(2026,3,1)&gt;=DATE(2026,10,1),DATE(2026,3,1)&lt;=DATE(2027,12,1),'Model inputs'!B458)))))</f>
        <v>0</v>
      </c>
    </row>
    <row r="460" customFormat="false" ht="18" hidden="false" customHeight="false" outlineLevel="0" collapsed="false">
      <c r="A460" s="27" t="s">
        <v>438</v>
      </c>
      <c r="B460" s="0" t="b">
        <f aca="false">IF(ISERROR('Model inputs'!E32=MIN('Model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inputs'!E32=MIN('Model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inputs'!E32="",MIN('Model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inputs'!E32=MIN('Model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61" customFormat="false" ht="18" hidden="false" customHeight="false" outlineLevel="0" collapsed="false">
      <c r="A461" s="27" t="s">
        <v>438</v>
      </c>
      <c r="B461" s="0" t="b">
        <f aca="false">IF(IFERROR(DATE(2026,4,1)&gt;=DATE(2026,10,1)=FALSE(),FALSE()),FALSE(),IF(IFERROR(DATE(2026,4,1)&lt;=DATE(2027,12,1)=FALSE(),FALSE()),FALSE(),IF(IFERROR('Model inputs'!B460=FALSE(),FALSE()),FALSE(),IF('Model inputs'!B460="","",AND(DATE(2026,4,1)&gt;=DATE(2026,10,1),DATE(2026,4,1)&lt;=DATE(2027,12,1),'Model inputs'!B460)))))</f>
        <v>0</v>
      </c>
    </row>
    <row r="462" customFormat="false" ht="18" hidden="false" customHeight="false" outlineLevel="0" collapsed="false">
      <c r="A462" s="27" t="s">
        <v>438</v>
      </c>
      <c r="B462" s="0" t="b">
        <f aca="false">IF(ISERROR('Model inputs'!F32=MIN('Model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inputs'!F32=MIN('Model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inputs'!F32="",MIN('Model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inputs'!F32=MIN('Model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63" customFormat="false" ht="18" hidden="false" customHeight="false" outlineLevel="0" collapsed="false">
      <c r="A463" s="27" t="s">
        <v>438</v>
      </c>
      <c r="B463" s="0" t="b">
        <f aca="false">IF(IFERROR(DATE(2026,5,1)&gt;=DATE(2026,10,1)=FALSE(),FALSE()),FALSE(),IF(IFERROR(DATE(2026,5,1)&lt;=DATE(2027,12,1)=FALSE(),FALSE()),FALSE(),IF(IFERROR('Model inputs'!B462=FALSE(),FALSE()),FALSE(),IF('Model inputs'!B462="","",AND(DATE(2026,5,1)&gt;=DATE(2026,10,1),DATE(2026,5,1)&lt;=DATE(2027,12,1),'Model inputs'!B462)))))</f>
        <v>0</v>
      </c>
    </row>
    <row r="464" customFormat="false" ht="18" hidden="false" customHeight="false" outlineLevel="0" collapsed="false">
      <c r="A464" s="27" t="s">
        <v>438</v>
      </c>
      <c r="B464" s="0" t="b">
        <f aca="false">IF(ISERROR('Model inputs'!G32=MIN('Model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inputs'!G32=MIN('Model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inputs'!G32="",MIN('Model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inputs'!G32=MIN('Model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65" customFormat="false" ht="18" hidden="false" customHeight="false" outlineLevel="0" collapsed="false">
      <c r="A465" s="27" t="s">
        <v>438</v>
      </c>
      <c r="B465" s="0" t="b">
        <f aca="false">IF(IFERROR(DATE(2026,6,1)&gt;=DATE(2026,10,1)=FALSE(),FALSE()),FALSE(),IF(IFERROR(DATE(2026,6,1)&lt;=DATE(2027,12,1)=FALSE(),FALSE()),FALSE(),IF(IFERROR('Model inputs'!B464=FALSE(),FALSE()),FALSE(),IF('Model inputs'!B464="","",AND(DATE(2026,6,1)&gt;=DATE(2026,10,1),DATE(2026,6,1)&lt;=DATE(2027,12,1),'Model inputs'!B464)))))</f>
        <v>0</v>
      </c>
    </row>
    <row r="466" customFormat="false" ht="18" hidden="false" customHeight="false" outlineLevel="0" collapsed="false">
      <c r="A466" s="27" t="s">
        <v>438</v>
      </c>
      <c r="B466" s="0" t="b">
        <f aca="false">IF(ISERROR('Model inputs'!H32=MIN('Model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inputs'!H32=MIN('Model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inputs'!H32="",MIN('Model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inputs'!H32=MIN('Model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67" customFormat="false" ht="18" hidden="false" customHeight="false" outlineLevel="0" collapsed="false">
      <c r="A467" s="27" t="s">
        <v>438</v>
      </c>
      <c r="B467" s="0" t="b">
        <f aca="false">IF(IFERROR(DATE(2026,7,1)&gt;=DATE(2026,10,1)=FALSE(),FALSE()),FALSE(),IF(IFERROR(DATE(2026,7,1)&lt;=DATE(2027,12,1)=FALSE(),FALSE()),FALSE(),IF(IFERROR('Model inputs'!B466=FALSE(),FALSE()),FALSE(),IF('Model inputs'!B466="","",AND(DATE(2026,7,1)&gt;=DATE(2026,10,1),DATE(2026,7,1)&lt;=DATE(2027,12,1),'Model inputs'!B466)))))</f>
        <v>0</v>
      </c>
    </row>
    <row r="468" customFormat="false" ht="18" hidden="false" customHeight="false" outlineLevel="0" collapsed="false">
      <c r="A468" s="27" t="s">
        <v>438</v>
      </c>
      <c r="B468" s="0" t="b">
        <f aca="false">IF(ISERROR('Model inputs'!I32=MIN('Model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inputs'!I32=MIN('Model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inputs'!I32="",MIN('Model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inputs'!I32=MIN('Model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69" customFormat="false" ht="18" hidden="false" customHeight="false" outlineLevel="0" collapsed="false">
      <c r="A469" s="27" t="s">
        <v>438</v>
      </c>
      <c r="B469" s="0" t="b">
        <f aca="false">IF(IFERROR(DATE(2026,8,1)&gt;=DATE(2026,10,1)=FALSE(),FALSE()),FALSE(),IF(IFERROR(DATE(2026,8,1)&lt;=DATE(2027,12,1)=FALSE(),FALSE()),FALSE(),IF(IFERROR('Model inputs'!B468=FALSE(),FALSE()),FALSE(),IF('Model inputs'!B468="","",AND(DATE(2026,8,1)&gt;=DATE(2026,10,1),DATE(2026,8,1)&lt;=DATE(2027,12,1),'Model inputs'!B468)))))</f>
        <v>0</v>
      </c>
    </row>
    <row r="470" customFormat="false" ht="18" hidden="false" customHeight="false" outlineLevel="0" collapsed="false">
      <c r="A470" s="27" t="s">
        <v>438</v>
      </c>
      <c r="B470" s="0" t="b">
        <f aca="false">IF(ISERROR('Model inputs'!J32=MIN('Model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inputs'!Y32)),'Model inputs'!J32=MIN('Model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inputs'!Y32),IF(OR('Model inputs'!J32="",MIN('Model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inputs'!Y32)=""),"",'Model inputs'!J32=MIN('Model inputs'!K32,'Model inputs'!L32,'Model inputs'!M32,'Model inputs'!N32,'Model inputs'!O32,'Model inputs'!P32,'Model inputs'!Q32,'Model inputs'!R32,'Model inputs'!S32,'Model inputs'!T32,'Model inputs'!U32,'Model inputs'!V32,'Model inputs'!W32,'Model inputs'!X32,'Model inputs'!Y32)))</f>
        <v>0</v>
      </c>
    </row>
    <row r="471" customFormat="false" ht="18" hidden="false" customHeight="false" outlineLevel="0" collapsed="false">
      <c r="A471" s="27" t="s">
        <v>438</v>
      </c>
      <c r="B471" s="0" t="b">
        <f aca="false">IF(IFERROR(DATE(2026,9,1)&gt;=DATE(2026,10,1)=FALSE(),FALSE()),FALSE(),IF(IFERROR(DATE(2026,9,1)&lt;=DATE(2027,12,1)=FALSE(),FALSE()),FALSE(),IF(IFERROR('Model inputs'!B470=FALSE(),FALSE()),FALSE(),IF('Model inputs'!B470="","",AND(DATE(2026,9,1)&gt;=DATE(2026,10,1),DATE(2026,9,1)&lt;=DATE(2027,12,1),'Model inputs'!B470)))))</f>
        <v>0</v>
      </c>
    </row>
    <row r="472" customFormat="false" ht="18" hidden="false" customHeight="false" outlineLevel="0" collapsed="false">
      <c r="A472" s="27" t="s">
        <v>438</v>
      </c>
      <c r="B472" s="0" t="str">
        <f aca="false">IF(IF('Model inputs'!B425="",FALSE(),'Model inputs'!B425),'Gainsay economics · Gainsay ope'!B42,"")</f>
        <v/>
      </c>
    </row>
    <row r="473" customFormat="false" ht="18" hidden="false" customHeight="false" outlineLevel="0" collapsed="false">
      <c r="A473" s="27" t="s">
        <v>438</v>
      </c>
      <c r="B473" s="0" t="str">
        <f aca="false">IF(IF('Model inputs'!B427="",FALSE(),'Model inputs'!B427),'Gainsay economics · Gainsay ope'!C42,"")</f>
        <v/>
      </c>
    </row>
    <row r="474" customFormat="false" ht="18" hidden="false" customHeight="false" outlineLevel="0" collapsed="false">
      <c r="A474" s="27" t="s">
        <v>438</v>
      </c>
      <c r="B474" s="0" t="str">
        <f aca="false">IF(IF('Model inputs'!B429="",FALSE(),'Model inputs'!B429),'Gainsay economics · Gainsay ope'!D42,"")</f>
        <v/>
      </c>
    </row>
    <row r="475" customFormat="false" ht="18" hidden="false" customHeight="false" outlineLevel="0" collapsed="false">
      <c r="A475" s="27" t="s">
        <v>438</v>
      </c>
      <c r="B475" s="0" t="str">
        <f aca="false">IF(IF('Model inputs'!B431="",FALSE(),'Model inputs'!B431),'Gainsay economics · Gainsay ope'!E42,"")</f>
        <v/>
      </c>
    </row>
    <row r="476" customFormat="false" ht="18" hidden="false" customHeight="false" outlineLevel="0" collapsed="false">
      <c r="A476" s="27" t="s">
        <v>438</v>
      </c>
      <c r="B476" s="0" t="str">
        <f aca="false">IF(IF('Model inputs'!B433="",FALSE(),'Model inputs'!B433),'Gainsay economics · Gainsay ope'!F42,"")</f>
        <v/>
      </c>
    </row>
    <row r="477" customFormat="false" ht="18" hidden="false" customHeight="false" outlineLevel="0" collapsed="false">
      <c r="A477" s="27" t="s">
        <v>438</v>
      </c>
      <c r="B477" s="0" t="str">
        <f aca="false">IF(IF('Model inputs'!B435="",FALSE(),'Model inputs'!B435),'Gainsay economics · Gainsay ope'!G42,"")</f>
        <v/>
      </c>
    </row>
    <row r="478" customFormat="false" ht="18" hidden="false" customHeight="false" outlineLevel="0" collapsed="false">
      <c r="A478" s="27" t="s">
        <v>438</v>
      </c>
      <c r="B478" s="0" t="str">
        <f aca="false">IF(IF('Model inputs'!B437="",FALSE(),'Model inputs'!B437),'Gainsay economics · Gainsay ope'!H42,"")</f>
        <v/>
      </c>
    </row>
    <row r="479" customFormat="false" ht="18" hidden="false" customHeight="false" outlineLevel="0" collapsed="false">
      <c r="A479" s="27" t="s">
        <v>438</v>
      </c>
      <c r="B479" s="0" t="str">
        <f aca="false">IF(IF('Model inputs'!B439="",FALSE(),'Model inputs'!B439),'Gainsay economics · Gainsay ope'!I42,"")</f>
        <v/>
      </c>
    </row>
    <row r="480" customFormat="false" ht="18" hidden="false" customHeight="false" outlineLevel="0" collapsed="false">
      <c r="A480" s="27" t="s">
        <v>438</v>
      </c>
      <c r="B480" s="0" t="str">
        <f aca="false">IF(IF('Model inputs'!B441="",FALSE(),'Model inputs'!B441),'Gainsay economics · Gainsay ope'!J42,"")</f>
        <v/>
      </c>
    </row>
    <row r="481" customFormat="false" ht="18" hidden="false" customHeight="false" outlineLevel="0" collapsed="false">
      <c r="A481" s="27" t="s">
        <v>438</v>
      </c>
      <c r="B481" s="0" t="n">
        <f aca="false">IF(IF('Model inputs'!B443="",FALSE(),'Model inputs'!B443),'Gainsay economics · Gainsay ope'!K42,"")</f>
        <v>10</v>
      </c>
    </row>
    <row r="482" customFormat="false" ht="18" hidden="false" customHeight="false" outlineLevel="0" collapsed="false">
      <c r="A482" s="27" t="s">
        <v>438</v>
      </c>
      <c r="B482" s="0" t="str">
        <f aca="false">IF(IF('Model inputs'!B445="",FALSE(),'Model inputs'!B445),'Gainsay economics · Gainsay ope'!L42,"")</f>
        <v/>
      </c>
    </row>
    <row r="483" customFormat="false" ht="18" hidden="false" customHeight="false" outlineLevel="0" collapsed="false">
      <c r="A483" s="27" t="s">
        <v>438</v>
      </c>
      <c r="B483" s="0" t="str">
        <f aca="false">IF(IF('Model inputs'!B447="",FALSE(),'Model inputs'!B447),'Gainsay economics · Gainsay ope'!M42,"")</f>
        <v/>
      </c>
    </row>
    <row r="484" customFormat="false" ht="18" hidden="false" customHeight="false" outlineLevel="0" collapsed="false">
      <c r="A484" s="27" t="s">
        <v>438</v>
      </c>
      <c r="B484" s="0" t="str">
        <f aca="false">IF(IF('Model inputs'!B449="",FALSE(),'Model inputs'!B449),'Gainsay economics · Gainsay ope'!N42,"")</f>
        <v/>
      </c>
    </row>
    <row r="485" customFormat="false" ht="18" hidden="false" customHeight="false" outlineLevel="0" collapsed="false">
      <c r="A485" s="27" t="s">
        <v>438</v>
      </c>
      <c r="B485" s="0" t="str">
        <f aca="false">IF(IF('Model inputs'!B451="",FALSE(),'Model inputs'!B451),'Gainsay economics · Gainsay ope'!O42,"")</f>
        <v/>
      </c>
    </row>
    <row r="486" customFormat="false" ht="18" hidden="false" customHeight="false" outlineLevel="0" collapsed="false">
      <c r="A486" s="27" t="s">
        <v>438</v>
      </c>
      <c r="B486" s="0" t="str">
        <f aca="false">IF(IF('Model inputs'!B453="",FALSE(),'Model inputs'!B453),'Gainsay economics · Gainsay ope'!P42,"")</f>
        <v/>
      </c>
    </row>
    <row r="487" customFormat="false" ht="18" hidden="false" customHeight="false" outlineLevel="0" collapsed="false">
      <c r="A487" s="27" t="s">
        <v>438</v>
      </c>
      <c r="B487" s="0" t="str">
        <f aca="false">IF(IF('Model inputs'!B455="",FALSE(),'Model inputs'!B455),'Model inputs'!B97,"")</f>
        <v/>
      </c>
    </row>
    <row r="488" customFormat="false" ht="18" hidden="false" customHeight="false" outlineLevel="0" collapsed="false">
      <c r="A488" s="27" t="s">
        <v>438</v>
      </c>
      <c r="B488" s="0" t="str">
        <f aca="false">IF(IF('Model inputs'!B457="",FALSE(),'Model inputs'!B457),'Model inputs'!C97,"")</f>
        <v/>
      </c>
    </row>
    <row r="489" customFormat="false" ht="18" hidden="false" customHeight="false" outlineLevel="0" collapsed="false">
      <c r="A489" s="27" t="s">
        <v>438</v>
      </c>
      <c r="B489" s="0" t="str">
        <f aca="false">IF(IF('Model inputs'!B459="",FALSE(),'Model inputs'!B459),'Model inputs'!D97,"")</f>
        <v/>
      </c>
    </row>
    <row r="490" customFormat="false" ht="18" hidden="false" customHeight="false" outlineLevel="0" collapsed="false">
      <c r="A490" s="27" t="s">
        <v>438</v>
      </c>
      <c r="B490" s="0" t="str">
        <f aca="false">IF(IF('Model inputs'!B461="",FALSE(),'Model inputs'!B461),'Model inputs'!E97,"")</f>
        <v/>
      </c>
    </row>
    <row r="491" customFormat="false" ht="18" hidden="false" customHeight="false" outlineLevel="0" collapsed="false">
      <c r="A491" s="27" t="s">
        <v>438</v>
      </c>
      <c r="B491" s="0" t="str">
        <f aca="false">IF(IF('Model inputs'!B463="",FALSE(),'Model inputs'!B463),'Model inputs'!F97,"")</f>
        <v/>
      </c>
    </row>
    <row r="492" customFormat="false" ht="18" hidden="false" customHeight="false" outlineLevel="0" collapsed="false">
      <c r="A492" s="27" t="s">
        <v>438</v>
      </c>
      <c r="B492" s="0" t="str">
        <f aca="false">IF(IF('Model inputs'!B465="",FALSE(),'Model inputs'!B465),'Model inputs'!G97,"")</f>
        <v/>
      </c>
    </row>
    <row r="493" customFormat="false" ht="18" hidden="false" customHeight="false" outlineLevel="0" collapsed="false">
      <c r="A493" s="27" t="s">
        <v>438</v>
      </c>
      <c r="B493" s="0" t="str">
        <f aca="false">IF(IF('Model inputs'!B467="",FALSE(),'Model inputs'!B467),'Model inputs'!H97,"")</f>
        <v/>
      </c>
    </row>
    <row r="494" customFormat="false" ht="18" hidden="false" customHeight="false" outlineLevel="0" collapsed="false">
      <c r="A494" s="27" t="s">
        <v>438</v>
      </c>
      <c r="B494" s="0" t="str">
        <f aca="false">IF(IF('Model inputs'!B469="",FALSE(),'Model inputs'!B469),'Model inputs'!I97,"")</f>
        <v/>
      </c>
    </row>
    <row r="495" customFormat="false" ht="18" hidden="false" customHeight="false" outlineLevel="0" collapsed="false">
      <c r="A495" s="27" t="s">
        <v>438</v>
      </c>
      <c r="B495" s="0" t="str">
        <f aca="false">IF(IF('Model inputs'!B471="",FALSE(),'Model inputs'!B471),'Model inputs'!J97,"")</f>
        <v/>
      </c>
    </row>
    <row r="496" customFormat="false" ht="18" hidden="false" customHeight="false" outlineLevel="0" collapsed="false">
      <c r="A496" s="27" t="s">
        <v>438</v>
      </c>
      <c r="B496" s="0" t="n">
        <f aca="false">(IF(AND('Model inputs'!B472="",'Model inputs'!B473="",'Model inputs'!B474="",'Model inputs'!B475="",'Model inputs'!B476="",'Model inputs'!B477="",'Model inputs'!B478="",'Model inputs'!B479="",'Model inputs'!B480="",'Model inputs'!B481="",'Model inputs'!B482="",'Model inputs'!B483="",'Model inputs'!B484="",'Model inputs'!B485="",'Model inputs'!B486="",'Model inputs'!B487="",'Model inputs'!B488="",'Model inputs'!B489="",'Model inputs'!B490="",'Model inputs'!B491="",'Model inputs'!B492="",'Model inputs'!B493="",'Model inputs'!B494="",'Model inputs'!B495=""),"",MIN('Model inputs'!B472,'Model inputs'!B473,'Model inputs'!B474,'Model inputs'!B475,'Model inputs'!B476,'Model inputs'!B477,'Model inputs'!B478,'Model inputs'!B479,'Model inputs'!B480,'Model inputs'!B481,'Model inputs'!B482,'Model inputs'!B483,'Model inputs'!B484,'Model inputs'!B485,'Model inputs'!B486,'Model inputs'!B487,'Model inputs'!B488,'Model inputs'!B489,'Model inputs'!B490,'Model inputs'!B491,'Model inputs'!B492,'Model inputs'!B493,'Model inputs'!B494,'Model inputs'!B495)))</f>
        <v>10</v>
      </c>
    </row>
    <row r="497" customFormat="false" ht="18" hidden="false" customHeight="false" outlineLevel="0" collapsed="false">
      <c r="A497" s="27" t="s">
        <v>438</v>
      </c>
      <c r="B497" s="0" t="b">
        <f aca="false">IF(ISERROR('Gainsay economics · Gainsay ope'!B45&gt;0),'Gainsay economics · Gainsay ope'!B45&gt;0,IF('Gainsay economics · Gainsay ope'!B45="","",'Gainsay economics · Gainsay ope'!B45&gt;0))</f>
        <v>0</v>
      </c>
    </row>
    <row r="498" customFormat="false" ht="18" hidden="false" customHeight="false" outlineLevel="0" collapsed="false">
      <c r="A498" s="27" t="s">
        <v>438</v>
      </c>
      <c r="B498" s="0" t="b">
        <f aca="false">IF(IFERROR(DATE(2026,10,1)&gt;=DATE(2026,10,1)=FALSE(),FALSE()),FALSE(),IF(IFERROR(DATE(2026,10,1)&lt;=DATE(2027,12,1)=FALSE(),FALSE()),FALSE(),IF(IFERROR('Model inputs'!B497=FALSE(),FALSE()),FALSE(),IF('Model inputs'!B497="","",AND(DATE(2026,10,1)&gt;=DATE(2026,10,1),DATE(2026,10,1)&lt;=DATE(2027,12,1),'Model inputs'!B497)))))</f>
        <v>0</v>
      </c>
    </row>
    <row r="499" customFormat="false" ht="18" hidden="false" customHeight="false" outlineLevel="0" collapsed="false">
      <c r="A499" s="27" t="s">
        <v>438</v>
      </c>
      <c r="B499" s="0" t="b">
        <f aca="false">IF(ISERROR('Gainsay economics · Gainsay ope'!C45&gt;0),'Gainsay economics · Gainsay ope'!C45&gt;0,IF('Gainsay economics · Gainsay ope'!C45="","",'Gainsay economics · Gainsay ope'!C45&gt;0))</f>
        <v>0</v>
      </c>
    </row>
    <row r="500" customFormat="false" ht="18" hidden="false" customHeight="false" outlineLevel="0" collapsed="false">
      <c r="A500" s="27" t="s">
        <v>438</v>
      </c>
      <c r="B500" s="0" t="b">
        <f aca="false">IF(IFERROR(DATE(2026,11,1)&gt;=DATE(2026,10,1)=FALSE(),FALSE()),FALSE(),IF(IFERROR(DATE(2026,11,1)&lt;=DATE(2027,12,1)=FALSE(),FALSE()),FALSE(),IF(IFERROR('Model inputs'!B499=FALSE(),FALSE()),FALSE(),IF('Model inputs'!B499="","",AND(DATE(2026,11,1)&gt;=DATE(2026,10,1),DATE(2026,11,1)&lt;=DATE(2027,12,1),'Model inputs'!B499)))))</f>
        <v>0</v>
      </c>
    </row>
    <row r="501" customFormat="false" ht="18" hidden="false" customHeight="false" outlineLevel="0" collapsed="false">
      <c r="A501" s="27" t="s">
        <v>438</v>
      </c>
      <c r="B501" s="0" t="b">
        <f aca="false">IF(ISERROR('Gainsay economics · Gainsay ope'!D45&gt;0),'Gainsay economics · Gainsay ope'!D45&gt;0,IF('Gainsay economics · Gainsay ope'!D45="","",'Gainsay economics · Gainsay ope'!D45&gt;0))</f>
        <v>0</v>
      </c>
    </row>
    <row r="502" customFormat="false" ht="18" hidden="false" customHeight="false" outlineLevel="0" collapsed="false">
      <c r="A502" s="27" t="s">
        <v>438</v>
      </c>
      <c r="B502" s="0" t="b">
        <f aca="false">IF(IFERROR(DATE(2026,12,1)&gt;=DATE(2026,10,1)=FALSE(),FALSE()),FALSE(),IF(IFERROR(DATE(2026,12,1)&lt;=DATE(2027,12,1)=FALSE(),FALSE()),FALSE(),IF(IFERROR('Model inputs'!B501=FALSE(),FALSE()),FALSE(),IF('Model inputs'!B501="","",AND(DATE(2026,12,1)&gt;=DATE(2026,10,1),DATE(2026,12,1)&lt;=DATE(2027,12,1),'Model inputs'!B501)))))</f>
        <v>0</v>
      </c>
    </row>
    <row r="503" customFormat="false" ht="18" hidden="false" customHeight="false" outlineLevel="0" collapsed="false">
      <c r="A503" s="27" t="s">
        <v>438</v>
      </c>
      <c r="B503" s="0" t="b">
        <f aca="false">IF(ISERROR('Gainsay economics · Gainsay ope'!E45&gt;0),'Gainsay economics · Gainsay ope'!E45&gt;0,IF('Gainsay economics · Gainsay ope'!E45="","",'Gainsay economics · Gainsay ope'!E45&gt;0))</f>
        <v>1</v>
      </c>
    </row>
    <row r="504" customFormat="false" ht="18" hidden="false" customHeight="false" outlineLevel="0" collapsed="false">
      <c r="A504" s="27" t="s">
        <v>438</v>
      </c>
      <c r="B504" s="0" t="b">
        <f aca="false">IF(IFERROR(DATE(2027,1,1)&gt;=DATE(2026,10,1)=FALSE(),FALSE()),FALSE(),IF(IFERROR(DATE(2027,1,1)&lt;=DATE(2027,12,1)=FALSE(),FALSE()),FALSE(),IF(IFERROR('Model inputs'!B503=FALSE(),FALSE()),FALSE(),IF('Model inputs'!B503="","",AND(DATE(2027,1,1)&gt;=DATE(2026,10,1),DATE(2027,1,1)&lt;=DATE(2027,12,1),'Model inputs'!B503)))))</f>
        <v>1</v>
      </c>
    </row>
    <row r="505" customFormat="false" ht="18" hidden="false" customHeight="false" outlineLevel="0" collapsed="false">
      <c r="A505" s="27" t="s">
        <v>438</v>
      </c>
      <c r="B505" s="0" t="b">
        <f aca="false">IF(ISERROR('Gainsay economics · Gainsay ope'!F45&gt;0),'Gainsay economics · Gainsay ope'!F45&gt;0,IF('Gainsay economics · Gainsay ope'!F45="","",'Gainsay economics · Gainsay ope'!F45&gt;0))</f>
        <v>1</v>
      </c>
    </row>
    <row r="506" customFormat="false" ht="18" hidden="false" customHeight="false" outlineLevel="0" collapsed="false">
      <c r="A506" s="27" t="s">
        <v>438</v>
      </c>
      <c r="B506" s="0" t="b">
        <f aca="false">IF(IFERROR(DATE(2027,2,1)&gt;=DATE(2026,10,1)=FALSE(),FALSE()),FALSE(),IF(IFERROR(DATE(2027,2,1)&lt;=DATE(2027,12,1)=FALSE(),FALSE()),FALSE(),IF(IFERROR('Model inputs'!B505=FALSE(),FALSE()),FALSE(),IF('Model inputs'!B505="","",AND(DATE(2027,2,1)&gt;=DATE(2026,10,1),DATE(2027,2,1)&lt;=DATE(2027,12,1),'Model inputs'!B505)))))</f>
        <v>1</v>
      </c>
    </row>
    <row r="507" customFormat="false" ht="18" hidden="false" customHeight="false" outlineLevel="0" collapsed="false">
      <c r="A507" s="27" t="s">
        <v>438</v>
      </c>
      <c r="B507" s="0" t="b">
        <f aca="false">IF(ISERROR('Gainsay economics · Gainsay ope'!G45&gt;0),'Gainsay economics · Gainsay ope'!G45&gt;0,IF('Gainsay economics · Gainsay ope'!G45="","",'Gainsay economics · Gainsay ope'!G45&gt;0))</f>
        <v>1</v>
      </c>
    </row>
    <row r="508" customFormat="false" ht="18" hidden="false" customHeight="false" outlineLevel="0" collapsed="false">
      <c r="A508" s="27" t="s">
        <v>438</v>
      </c>
      <c r="B508" s="0" t="b">
        <f aca="false">IF(IFERROR(DATE(2027,3,1)&gt;=DATE(2026,10,1)=FALSE(),FALSE()),FALSE(),IF(IFERROR(DATE(2027,3,1)&lt;=DATE(2027,12,1)=FALSE(),FALSE()),FALSE(),IF(IFERROR('Model inputs'!B507=FALSE(),FALSE()),FALSE(),IF('Model inputs'!B507="","",AND(DATE(2027,3,1)&gt;=DATE(2026,10,1),DATE(2027,3,1)&lt;=DATE(2027,12,1),'Model inputs'!B507)))))</f>
        <v>1</v>
      </c>
    </row>
    <row r="509" customFormat="false" ht="18" hidden="false" customHeight="false" outlineLevel="0" collapsed="false">
      <c r="A509" s="27" t="s">
        <v>438</v>
      </c>
      <c r="B509" s="0" t="b">
        <f aca="false">IF(ISERROR('Gainsay economics · Gainsay ope'!H45&gt;0),'Gainsay economics · Gainsay ope'!H45&gt;0,IF('Gainsay economics · Gainsay ope'!H45="","",'Gainsay economics · Gainsay ope'!H45&gt;0))</f>
        <v>1</v>
      </c>
    </row>
    <row r="510" customFormat="false" ht="18" hidden="false" customHeight="false" outlineLevel="0" collapsed="false">
      <c r="A510" s="27" t="s">
        <v>438</v>
      </c>
      <c r="B510" s="0" t="b">
        <f aca="false">IF(IFERROR(DATE(2027,4,1)&gt;=DATE(2026,10,1)=FALSE(),FALSE()),FALSE(),IF(IFERROR(DATE(2027,4,1)&lt;=DATE(2027,12,1)=FALSE(),FALSE()),FALSE(),IF(IFERROR('Model inputs'!B509=FALSE(),FALSE()),FALSE(),IF('Model inputs'!B509="","",AND(DATE(2027,4,1)&gt;=DATE(2026,10,1),DATE(2027,4,1)&lt;=DATE(2027,12,1),'Model inputs'!B509)))))</f>
        <v>1</v>
      </c>
    </row>
    <row r="511" customFormat="false" ht="18" hidden="false" customHeight="false" outlineLevel="0" collapsed="false">
      <c r="A511" s="27" t="s">
        <v>438</v>
      </c>
      <c r="B511" s="0" t="b">
        <f aca="false">IF(ISERROR('Gainsay economics · Gainsay ope'!I45&gt;0),'Gainsay economics · Gainsay ope'!I45&gt;0,IF('Gainsay economics · Gainsay ope'!I45="","",'Gainsay economics · Gainsay ope'!I45&gt;0))</f>
        <v>1</v>
      </c>
    </row>
    <row r="512" customFormat="false" ht="18" hidden="false" customHeight="false" outlineLevel="0" collapsed="false">
      <c r="A512" s="27" t="s">
        <v>438</v>
      </c>
      <c r="B512" s="0" t="b">
        <f aca="false">IF(IFERROR(DATE(2027,5,1)&gt;=DATE(2026,10,1)=FALSE(),FALSE()),FALSE(),IF(IFERROR(DATE(2027,5,1)&lt;=DATE(2027,12,1)=FALSE(),FALSE()),FALSE(),IF(IFERROR('Model inputs'!B511=FALSE(),FALSE()),FALSE(),IF('Model inputs'!B511="","",AND(DATE(2027,5,1)&gt;=DATE(2026,10,1),DATE(2027,5,1)&lt;=DATE(2027,12,1),'Model inputs'!B511)))))</f>
        <v>1</v>
      </c>
    </row>
    <row r="513" customFormat="false" ht="18" hidden="false" customHeight="false" outlineLevel="0" collapsed="false">
      <c r="A513" s="27" t="s">
        <v>438</v>
      </c>
      <c r="B513" s="0" t="b">
        <f aca="false">IF(ISERROR('Gainsay economics · Gainsay ope'!J45&gt;0),'Gainsay economics · Gainsay ope'!J45&gt;0,IF('Gainsay economics · Gainsay ope'!J45="","",'Gainsay economics · Gainsay ope'!J45&gt;0))</f>
        <v>1</v>
      </c>
    </row>
    <row r="514" customFormat="false" ht="18" hidden="false" customHeight="false" outlineLevel="0" collapsed="false">
      <c r="A514" s="27" t="s">
        <v>438</v>
      </c>
      <c r="B514" s="0" t="b">
        <f aca="false">IF(IFERROR(DATE(2027,6,1)&gt;=DATE(2026,10,1)=FALSE(),FALSE()),FALSE(),IF(IFERROR(DATE(2027,6,1)&lt;=DATE(2027,12,1)=FALSE(),FALSE()),FALSE(),IF(IFERROR('Model inputs'!B513=FALSE(),FALSE()),FALSE(),IF('Model inputs'!B513="","",AND(DATE(2027,6,1)&gt;=DATE(2026,10,1),DATE(2027,6,1)&lt;=DATE(2027,12,1),'Model inputs'!B513)))))</f>
        <v>1</v>
      </c>
    </row>
    <row r="515" customFormat="false" ht="18" hidden="false" customHeight="false" outlineLevel="0" collapsed="false">
      <c r="A515" s="27" t="s">
        <v>438</v>
      </c>
      <c r="B515" s="0" t="b">
        <f aca="false">IF(ISERROR('Gainsay economics · Gainsay ope'!K45&gt;0),'Gainsay economics · Gainsay ope'!K45&gt;0,IF('Gainsay economics · Gainsay ope'!K45="","",'Gainsay economics · Gainsay ope'!K45&gt;0))</f>
        <v>1</v>
      </c>
    </row>
    <row r="516" customFormat="false" ht="18" hidden="false" customHeight="false" outlineLevel="0" collapsed="false">
      <c r="A516" s="27" t="s">
        <v>438</v>
      </c>
      <c r="B516" s="0" t="b">
        <f aca="false">IF(IFERROR(DATE(2027,7,1)&gt;=DATE(2026,10,1)=FALSE(),FALSE()),FALSE(),IF(IFERROR(DATE(2027,7,1)&lt;=DATE(2027,12,1)=FALSE(),FALSE()),FALSE(),IF(IFERROR('Model inputs'!B515=FALSE(),FALSE()),FALSE(),IF('Model inputs'!B515="","",AND(DATE(2027,7,1)&gt;=DATE(2026,10,1),DATE(2027,7,1)&lt;=DATE(2027,12,1),'Model inputs'!B515)))))</f>
        <v>1</v>
      </c>
    </row>
    <row r="517" customFormat="false" ht="18" hidden="false" customHeight="false" outlineLevel="0" collapsed="false">
      <c r="A517" s="27" t="s">
        <v>438</v>
      </c>
      <c r="B517" s="0" t="b">
        <f aca="false">IF(ISERROR('Gainsay economics · Gainsay ope'!L45&gt;0),'Gainsay economics · Gainsay ope'!L45&gt;0,IF('Gainsay economics · Gainsay ope'!L45="","",'Gainsay economics · Gainsay ope'!L45&gt;0))</f>
        <v>1</v>
      </c>
    </row>
    <row r="518" customFormat="false" ht="18" hidden="false" customHeight="false" outlineLevel="0" collapsed="false">
      <c r="A518" s="27" t="s">
        <v>438</v>
      </c>
      <c r="B518" s="0" t="b">
        <f aca="false">IF(IFERROR(DATE(2027,8,1)&gt;=DATE(2026,10,1)=FALSE(),FALSE()),FALSE(),IF(IFERROR(DATE(2027,8,1)&lt;=DATE(2027,12,1)=FALSE(),FALSE()),FALSE(),IF(IFERROR('Model inputs'!B517=FALSE(),FALSE()),FALSE(),IF('Model inputs'!B517="","",AND(DATE(2027,8,1)&gt;=DATE(2026,10,1),DATE(2027,8,1)&lt;=DATE(2027,12,1),'Model inputs'!B517)))))</f>
        <v>1</v>
      </c>
    </row>
    <row r="519" customFormat="false" ht="18" hidden="false" customHeight="false" outlineLevel="0" collapsed="false">
      <c r="A519" s="27" t="s">
        <v>438</v>
      </c>
      <c r="B519" s="0" t="b">
        <f aca="false">IF(ISERROR('Gainsay economics · Gainsay ope'!M45&gt;0),'Gainsay economics · Gainsay ope'!M45&gt;0,IF('Gainsay economics · Gainsay ope'!M45="","",'Gainsay economics · Gainsay ope'!M45&gt;0))</f>
        <v>1</v>
      </c>
    </row>
    <row r="520" customFormat="false" ht="18" hidden="false" customHeight="false" outlineLevel="0" collapsed="false">
      <c r="A520" s="27" t="s">
        <v>438</v>
      </c>
      <c r="B520" s="0" t="b">
        <f aca="false">IF(IFERROR(DATE(2027,9,1)&gt;=DATE(2026,10,1)=FALSE(),FALSE()),FALSE(),IF(IFERROR(DATE(2027,9,1)&lt;=DATE(2027,12,1)=FALSE(),FALSE()),FALSE(),IF(IFERROR('Model inputs'!B519=FALSE(),FALSE()),FALSE(),IF('Model inputs'!B519="","",AND(DATE(2027,9,1)&gt;=DATE(2026,10,1),DATE(2027,9,1)&lt;=DATE(2027,12,1),'Model inputs'!B519)))))</f>
        <v>1</v>
      </c>
    </row>
    <row r="521" customFormat="false" ht="18" hidden="false" customHeight="false" outlineLevel="0" collapsed="false">
      <c r="A521" s="27" t="s">
        <v>438</v>
      </c>
      <c r="B521" s="0" t="b">
        <f aca="false">IF(ISERROR('Gainsay economics · Gainsay ope'!N45&gt;0),'Gainsay economics · Gainsay ope'!N45&gt;0,IF('Gainsay economics · Gainsay ope'!N45="","",'Gainsay economics · Gainsay ope'!N45&gt;0))</f>
        <v>1</v>
      </c>
    </row>
    <row r="522" customFormat="false" ht="18" hidden="false" customHeight="false" outlineLevel="0" collapsed="false">
      <c r="A522" s="27" t="s">
        <v>438</v>
      </c>
      <c r="B522" s="0" t="b">
        <f aca="false">IF(IFERROR(DATE(2027,10,1)&gt;=DATE(2026,10,1)=FALSE(),FALSE()),FALSE(),IF(IFERROR(DATE(2027,10,1)&lt;=DATE(2027,12,1)=FALSE(),FALSE()),FALSE(),IF(IFERROR('Model inputs'!B521=FALSE(),FALSE()),FALSE(),IF('Model inputs'!B521="","",AND(DATE(2027,10,1)&gt;=DATE(2026,10,1),DATE(2027,10,1)&lt;=DATE(2027,12,1),'Model inputs'!B521)))))</f>
        <v>1</v>
      </c>
    </row>
    <row r="523" customFormat="false" ht="18" hidden="false" customHeight="false" outlineLevel="0" collapsed="false">
      <c r="A523" s="27" t="s">
        <v>438</v>
      </c>
      <c r="B523" s="0" t="b">
        <f aca="false">IF(ISERROR('Gainsay economics · Gainsay ope'!O45&gt;0),'Gainsay economics · Gainsay ope'!O45&gt;0,IF('Gainsay economics · Gainsay ope'!O45="","",'Gainsay economics · Gainsay ope'!O45&gt;0))</f>
        <v>1</v>
      </c>
    </row>
    <row r="524" customFormat="false" ht="18" hidden="false" customHeight="false" outlineLevel="0" collapsed="false">
      <c r="A524" s="27" t="s">
        <v>438</v>
      </c>
      <c r="B524" s="0" t="b">
        <f aca="false">IF(IFERROR(DATE(2027,11,1)&gt;=DATE(2026,10,1)=FALSE(),FALSE()),FALSE(),IF(IFERROR(DATE(2027,11,1)&lt;=DATE(2027,12,1)=FALSE(),FALSE()),FALSE(),IF(IFERROR('Model inputs'!B523=FALSE(),FALSE()),FALSE(),IF('Model inputs'!B523="","",AND(DATE(2027,11,1)&gt;=DATE(2026,10,1),DATE(2027,11,1)&lt;=DATE(2027,12,1),'Model inputs'!B523)))))</f>
        <v>1</v>
      </c>
    </row>
    <row r="525" customFormat="false" ht="18" hidden="false" customHeight="false" outlineLevel="0" collapsed="false">
      <c r="A525" s="27" t="s">
        <v>438</v>
      </c>
      <c r="B525" s="0" t="b">
        <f aca="false">IF(ISERROR('Gainsay economics · Gainsay ope'!P45&gt;0),'Gainsay economics · Gainsay ope'!P45&gt;0,IF('Gainsay economics · Gainsay ope'!P45="","",'Gainsay economics · Gainsay ope'!P45&gt;0))</f>
        <v>1</v>
      </c>
    </row>
    <row r="526" customFormat="false" ht="18" hidden="false" customHeight="false" outlineLevel="0" collapsed="false">
      <c r="A526" s="27" t="s">
        <v>438</v>
      </c>
      <c r="B526" s="0" t="b">
        <f aca="false">IF(IFERROR(DATE(2027,12,1)&gt;=DATE(2026,10,1)=FALSE(),FALSE()),FALSE(),IF(IFERROR(DATE(2027,12,1)&lt;=DATE(2027,12,1)=FALSE(),FALSE()),FALSE(),IF(IFERROR('Model inputs'!B525=FALSE(),FALSE()),FALSE(),IF('Model inputs'!B525="","",AND(DATE(2027,12,1)&gt;=DATE(2026,10,1),DATE(2027,12,1)&lt;=DATE(2027,12,1),'Model inputs'!B525)))))</f>
        <v>1</v>
      </c>
    </row>
    <row r="527" customFormat="false" ht="18" hidden="false" customHeight="false" outlineLevel="0" collapsed="false">
      <c r="A527" s="27" t="s">
        <v>438</v>
      </c>
      <c r="B527" s="0" t="b">
        <f aca="false">IF(IFERROR(DATE(2026,1,1)&gt;=DATE(2026,10,1)=FALSE(),FALSE()),FALSE(),IF(IFERROR(DATE(2026,1,1)&lt;=DATE(2027,12,1)=FALSE(),FALSE()),FALSE(),IF(IFERROR(IF(ISERROR('Model inputs'!B15&gt;0),'Model inputs'!B15&gt;0,IF('Model inputs'!B15="","",'Model inputs'!B15&gt;0))=FALSE(),FALSE()),FALSE(),IF(IF(ISERROR('Model inputs'!B15&gt;0),'Model inputs'!B15&gt;0,IF('Model inputs'!B15="","",'Model inputs'!B15&gt;0))="","",AND(DATE(2026,1,1)&gt;=DATE(2026,10,1),DATE(2026,1,1)&lt;=DATE(2027,12,1),IF(ISERROR('Model inputs'!B15&gt;0),'Model inputs'!B15&gt;0,IF('Model inputs'!B15="","",'Model inputs'!B15&gt;0)))))))</f>
        <v>0</v>
      </c>
    </row>
    <row r="528" customFormat="false" ht="18" hidden="false" customHeight="false" outlineLevel="0" collapsed="false">
      <c r="A528" s="27" t="s">
        <v>438</v>
      </c>
      <c r="B528" s="0" t="b">
        <f aca="false">IF(IFERROR(DATE(2026,2,1)&gt;=DATE(2026,10,1)=FALSE(),FALSE()),FALSE(),IF(IFERROR(DATE(2026,2,1)&lt;=DATE(2027,12,1)=FALSE(),FALSE()),FALSE(),IF(IFERROR(IF(ISERROR('Model inputs'!C15&gt;0),'Model inputs'!C15&gt;0,IF('Model inputs'!C15="","",'Model inputs'!C15&gt;0))=FALSE(),FALSE()),FALSE(),IF(IF(ISERROR('Model inputs'!C15&gt;0),'Model inputs'!C15&gt;0,IF('Model inputs'!C15="","",'Model inputs'!C15&gt;0))="","",AND(DATE(2026,2,1)&gt;=DATE(2026,10,1),DATE(2026,2,1)&lt;=DATE(2027,12,1),IF(ISERROR('Model inputs'!C15&gt;0),'Model inputs'!C15&gt;0,IF('Model inputs'!C15="","",'Model inputs'!C15&gt;0)))))))</f>
        <v>0</v>
      </c>
    </row>
    <row r="529" customFormat="false" ht="18" hidden="false" customHeight="false" outlineLevel="0" collapsed="false">
      <c r="A529" s="27" t="s">
        <v>438</v>
      </c>
      <c r="B529" s="0" t="b">
        <f aca="false">IF(IFERROR(DATE(2026,3,1)&gt;=DATE(2026,10,1)=FALSE(),FALSE()),FALSE(),IF(IFERROR(DATE(2026,3,1)&lt;=DATE(2027,12,1)=FALSE(),FALSE()),FALSE(),IF(IFERROR(IF(ISERROR('Model inputs'!D15&gt;0),'Model inputs'!D15&gt;0,IF('Model inputs'!D15="","",'Model inputs'!D15&gt;0))=FALSE(),FALSE()),FALSE(),IF(IF(ISERROR('Model inputs'!D15&gt;0),'Model inputs'!D15&gt;0,IF('Model inputs'!D15="","",'Model inputs'!D15&gt;0))="","",AND(DATE(2026,3,1)&gt;=DATE(2026,10,1),DATE(2026,3,1)&lt;=DATE(2027,12,1),IF(ISERROR('Model inputs'!D15&gt;0),'Model inputs'!D15&gt;0,IF('Model inputs'!D15="","",'Model inputs'!D15&gt;0)))))))</f>
        <v>0</v>
      </c>
    </row>
    <row r="530" customFormat="false" ht="18" hidden="false" customHeight="false" outlineLevel="0" collapsed="false">
      <c r="A530" s="27" t="s">
        <v>438</v>
      </c>
      <c r="B530" s="0" t="b">
        <f aca="false">IF(IFERROR(DATE(2026,4,1)&gt;=DATE(2026,10,1)=FALSE(),FALSE()),FALSE(),IF(IFERROR(DATE(2026,4,1)&lt;=DATE(2027,12,1)=FALSE(),FALSE()),FALSE(),IF(IFERROR(IF(ISERROR('Model inputs'!E15&gt;0),'Model inputs'!E15&gt;0,IF('Model inputs'!E15="","",'Model inputs'!E15&gt;0))=FALSE(),FALSE()),FALSE(),IF(IF(ISERROR('Model inputs'!E15&gt;0),'Model inputs'!E15&gt;0,IF('Model inputs'!E15="","",'Model inputs'!E15&gt;0))="","",AND(DATE(2026,4,1)&gt;=DATE(2026,10,1),DATE(2026,4,1)&lt;=DATE(2027,12,1),IF(ISERROR('Model inputs'!E15&gt;0),'Model inputs'!E15&gt;0,IF('Model inputs'!E15="","",'Model inputs'!E15&gt;0)))))))</f>
        <v>0</v>
      </c>
    </row>
    <row r="531" customFormat="false" ht="18" hidden="false" customHeight="false" outlineLevel="0" collapsed="false">
      <c r="A531" s="27" t="s">
        <v>438</v>
      </c>
      <c r="B531" s="0" t="b">
        <f aca="false">IF(IFERROR(DATE(2026,5,1)&gt;=DATE(2026,10,1)=FALSE(),FALSE()),FALSE(),IF(IFERROR(DATE(2026,5,1)&lt;=DATE(2027,12,1)=FALSE(),FALSE()),FALSE(),IF(IFERROR(IF(ISERROR('Model inputs'!F15&gt;0),'Model inputs'!F15&gt;0,IF('Model inputs'!F15="","",'Model inputs'!F15&gt;0))=FALSE(),FALSE()),FALSE(),IF(IF(ISERROR('Model inputs'!F15&gt;0),'Model inputs'!F15&gt;0,IF('Model inputs'!F15="","",'Model inputs'!F15&gt;0))="","",AND(DATE(2026,5,1)&gt;=DATE(2026,10,1),DATE(2026,5,1)&lt;=DATE(2027,12,1),IF(ISERROR('Model inputs'!F15&gt;0),'Model inputs'!F15&gt;0,IF('Model inputs'!F15="","",'Model inputs'!F15&gt;0)))))))</f>
        <v>0</v>
      </c>
    </row>
    <row r="532" customFormat="false" ht="18" hidden="false" customHeight="false" outlineLevel="0" collapsed="false">
      <c r="A532" s="27" t="s">
        <v>438</v>
      </c>
      <c r="B532" s="0" t="b">
        <f aca="false">IF(IFERROR(DATE(2026,6,1)&gt;=DATE(2026,10,1)=FALSE(),FALSE()),FALSE(),IF(IFERROR(DATE(2026,6,1)&lt;=DATE(2027,12,1)=FALSE(),FALSE()),FALSE(),IF(IFERROR(IF(ISERROR('Model inputs'!G15&gt;0),'Model inputs'!G15&gt;0,IF('Model inputs'!G15="","",'Model inputs'!G15&gt;0))=FALSE(),FALSE()),FALSE(),IF(IF(ISERROR('Model inputs'!G15&gt;0),'Model inputs'!G15&gt;0,IF('Model inputs'!G15="","",'Model inputs'!G15&gt;0))="","",AND(DATE(2026,6,1)&gt;=DATE(2026,10,1),DATE(2026,6,1)&lt;=DATE(2027,12,1),IF(ISERROR('Model inputs'!G15&gt;0),'Model inputs'!G15&gt;0,IF('Model inputs'!G15="","",'Model inputs'!G15&gt;0)))))))</f>
        <v>0</v>
      </c>
    </row>
    <row r="533" customFormat="false" ht="18" hidden="false" customHeight="false" outlineLevel="0" collapsed="false">
      <c r="A533" s="27" t="s">
        <v>438</v>
      </c>
      <c r="B533" s="0" t="b">
        <f aca="false">IF(IFERROR(DATE(2026,7,1)&gt;=DATE(2026,10,1)=FALSE(),FALSE()),FALSE(),IF(IFERROR(DATE(2026,7,1)&lt;=DATE(2027,12,1)=FALSE(),FALSE()),FALSE(),IF(IFERROR(IF(ISERROR('Model inputs'!H15&gt;0),'Model inputs'!H15&gt;0,IF('Model inputs'!H15="","",'Model inputs'!H15&gt;0))=FALSE(),FALSE()),FALSE(),IF(IF(ISERROR('Model inputs'!H15&gt;0),'Model inputs'!H15&gt;0,IF('Model inputs'!H15="","",'Model inputs'!H15&gt;0))="","",AND(DATE(2026,7,1)&gt;=DATE(2026,10,1),DATE(2026,7,1)&lt;=DATE(2027,12,1),IF(ISERROR('Model inputs'!H15&gt;0),'Model inputs'!H15&gt;0,IF('Model inputs'!H15="","",'Model inputs'!H15&gt;0)))))))</f>
        <v>0</v>
      </c>
    </row>
    <row r="534" customFormat="false" ht="18" hidden="false" customHeight="false" outlineLevel="0" collapsed="false">
      <c r="A534" s="27" t="s">
        <v>438</v>
      </c>
      <c r="B534" s="0" t="b">
        <f aca="false">IF(IFERROR(DATE(2026,8,1)&gt;=DATE(2026,10,1)=FALSE(),FALSE()),FALSE(),IF(IFERROR(DATE(2026,8,1)&lt;=DATE(2027,12,1)=FALSE(),FALSE()),FALSE(),IF(IFERROR(IF(ISERROR('Model inputs'!I15&gt;0),'Model inputs'!I15&gt;0,IF('Model inputs'!I15="","",'Model inputs'!I15&gt;0))=FALSE(),FALSE()),FALSE(),IF(IF(ISERROR('Model inputs'!I15&gt;0),'Model inputs'!I15&gt;0,IF('Model inputs'!I15="","",'Model inputs'!I15&gt;0))="","",AND(DATE(2026,8,1)&gt;=DATE(2026,10,1),DATE(2026,8,1)&lt;=DATE(2027,12,1),IF(ISERROR('Model inputs'!I15&gt;0),'Model inputs'!I15&gt;0,IF('Model inputs'!I15="","",'Model inputs'!I15&gt;0)))))))</f>
        <v>0</v>
      </c>
    </row>
    <row r="535" customFormat="false" ht="18" hidden="false" customHeight="false" outlineLevel="0" collapsed="false">
      <c r="A535" s="27" t="s">
        <v>438</v>
      </c>
      <c r="B535" s="0" t="b">
        <f aca="false">IF(IFERROR(DATE(2026,9,1)&gt;=DATE(2026,10,1)=FALSE(),FALSE()),FALSE(),IF(IFERROR(DATE(2026,9,1)&lt;=DATE(2027,12,1)=FALSE(),FALSE()),FALSE(),IF(IFERROR(IF(ISERROR('Model inputs'!J15&gt;0),'Model inputs'!J15&gt;0,IF('Model inputs'!J15="","",'Model inputs'!J15&gt;0))=FALSE(),FALSE()),FALSE(),IF(IF(ISERROR('Model inputs'!J15&gt;0),'Model inputs'!J15&gt;0,IF('Model inputs'!J15="","",'Model inputs'!J15&gt;0))="","",AND(DATE(2026,9,1)&gt;=DATE(2026,10,1),DATE(2026,9,1)&lt;=DATE(2027,12,1),IF(ISERROR('Model inputs'!J15&gt;0),'Model inputs'!J15&gt;0,IF('Model inputs'!J15="","",'Model inputs'!J15&gt;0)))))))</f>
        <v>0</v>
      </c>
    </row>
    <row r="536" customFormat="false" ht="18" hidden="false" customHeight="false" outlineLevel="0" collapsed="false">
      <c r="A536" s="27" t="s">
        <v>438</v>
      </c>
      <c r="B536" s="0" t="str">
        <f aca="false">IF(IF('Model inputs'!B498="",FALSE(),'Model inputs'!B498),'Gainsay economics · Gainsay ope'!B42,"")</f>
        <v/>
      </c>
    </row>
    <row r="537" customFormat="false" ht="18" hidden="false" customHeight="false" outlineLevel="0" collapsed="false">
      <c r="A537" s="27" t="s">
        <v>438</v>
      </c>
      <c r="B537" s="0" t="str">
        <f aca="false">IF(IF('Model inputs'!B500="",FALSE(),'Model inputs'!B500),'Gainsay economics · Gainsay ope'!C42,"")</f>
        <v/>
      </c>
    </row>
    <row r="538" customFormat="false" ht="18" hidden="false" customHeight="false" outlineLevel="0" collapsed="false">
      <c r="A538" s="27" t="s">
        <v>438</v>
      </c>
      <c r="B538" s="0" t="str">
        <f aca="false">IF(IF('Model inputs'!B502="",FALSE(),'Model inputs'!B502),'Gainsay economics · Gainsay ope'!D42,"")</f>
        <v/>
      </c>
    </row>
    <row r="539" customFormat="false" ht="18" hidden="false" customHeight="false" outlineLevel="0" collapsed="false">
      <c r="A539" s="27" t="s">
        <v>438</v>
      </c>
      <c r="B539" s="0" t="n">
        <f aca="false">IF(IF('Model inputs'!B504="",FALSE(),'Model inputs'!B504),'Gainsay economics · Gainsay ope'!E42,"")</f>
        <v>4</v>
      </c>
    </row>
    <row r="540" customFormat="false" ht="18" hidden="false" customHeight="false" outlineLevel="0" collapsed="false">
      <c r="A540" s="27" t="s">
        <v>438</v>
      </c>
      <c r="B540" s="0" t="n">
        <f aca="false">IF(IF('Model inputs'!B506="",FALSE(),'Model inputs'!B506),'Gainsay economics · Gainsay ope'!F42,"")</f>
        <v>5</v>
      </c>
    </row>
    <row r="541" customFormat="false" ht="18" hidden="false" customHeight="false" outlineLevel="0" collapsed="false">
      <c r="A541" s="27" t="s">
        <v>438</v>
      </c>
      <c r="B541" s="0" t="n">
        <f aca="false">IF(IF('Model inputs'!B508="",FALSE(),'Model inputs'!B508),'Gainsay economics · Gainsay ope'!G42,"")</f>
        <v>6</v>
      </c>
    </row>
    <row r="542" customFormat="false" ht="18" hidden="false" customHeight="false" outlineLevel="0" collapsed="false">
      <c r="A542" s="27" t="s">
        <v>438</v>
      </c>
      <c r="B542" s="0" t="n">
        <f aca="false">IF(IF('Model inputs'!B510="",FALSE(),'Model inputs'!B510),'Gainsay economics · Gainsay ope'!H42,"")</f>
        <v>7</v>
      </c>
    </row>
    <row r="543" customFormat="false" ht="18" hidden="false" customHeight="false" outlineLevel="0" collapsed="false">
      <c r="A543" s="27" t="s">
        <v>438</v>
      </c>
      <c r="B543" s="0" t="n">
        <f aca="false">IF(IF('Model inputs'!B512="",FALSE(),'Model inputs'!B512),'Gainsay economics · Gainsay ope'!I42,"")</f>
        <v>8</v>
      </c>
    </row>
    <row r="544" customFormat="false" ht="18" hidden="false" customHeight="false" outlineLevel="0" collapsed="false">
      <c r="A544" s="27" t="s">
        <v>438</v>
      </c>
      <c r="B544" s="0" t="n">
        <f aca="false">IF(IF('Model inputs'!B514="",FALSE(),'Model inputs'!B514),'Gainsay economics · Gainsay ope'!J42,"")</f>
        <v>9</v>
      </c>
    </row>
    <row r="545" customFormat="false" ht="18" hidden="false" customHeight="false" outlineLevel="0" collapsed="false">
      <c r="A545" s="27" t="s">
        <v>438</v>
      </c>
      <c r="B545" s="0" t="n">
        <f aca="false">IF(IF('Model inputs'!B516="",FALSE(),'Model inputs'!B516),'Gainsay economics · Gainsay ope'!K42,"")</f>
        <v>10</v>
      </c>
    </row>
    <row r="546" customFormat="false" ht="18" hidden="false" customHeight="false" outlineLevel="0" collapsed="false">
      <c r="A546" s="27" t="s">
        <v>438</v>
      </c>
      <c r="B546" s="0" t="n">
        <f aca="false">IF(IF('Model inputs'!B518="",FALSE(),'Model inputs'!B518),'Gainsay economics · Gainsay ope'!L42,"")</f>
        <v>11</v>
      </c>
    </row>
    <row r="547" customFormat="false" ht="18" hidden="false" customHeight="false" outlineLevel="0" collapsed="false">
      <c r="A547" s="27" t="s">
        <v>438</v>
      </c>
      <c r="B547" s="0" t="n">
        <f aca="false">IF(IF('Model inputs'!B520="",FALSE(),'Model inputs'!B520),'Gainsay economics · Gainsay ope'!M42,"")</f>
        <v>12</v>
      </c>
    </row>
    <row r="548" customFormat="false" ht="18" hidden="false" customHeight="false" outlineLevel="0" collapsed="false">
      <c r="A548" s="27" t="s">
        <v>438</v>
      </c>
      <c r="B548" s="0" t="n">
        <f aca="false">IF(IF('Model inputs'!B522="",FALSE(),'Model inputs'!B522),'Gainsay economics · Gainsay ope'!N42,"")</f>
        <v>13</v>
      </c>
    </row>
    <row r="549" customFormat="false" ht="18" hidden="false" customHeight="false" outlineLevel="0" collapsed="false">
      <c r="A549" s="27" t="s">
        <v>438</v>
      </c>
      <c r="B549" s="0" t="n">
        <f aca="false">IF(IF('Model inputs'!B524="",FALSE(),'Model inputs'!B524),'Gainsay economics · Gainsay ope'!O42,"")</f>
        <v>14</v>
      </c>
    </row>
    <row r="550" customFormat="false" ht="18" hidden="false" customHeight="false" outlineLevel="0" collapsed="false">
      <c r="A550" s="27" t="s">
        <v>438</v>
      </c>
      <c r="B550" s="0" t="n">
        <f aca="false">IF(IF('Model inputs'!B526="",FALSE(),'Model inputs'!B526),'Gainsay economics · Gainsay ope'!P42,"")</f>
        <v>15</v>
      </c>
    </row>
    <row r="551" customFormat="false" ht="18" hidden="false" customHeight="false" outlineLevel="0" collapsed="false">
      <c r="A551" s="27" t="s">
        <v>438</v>
      </c>
      <c r="B551" s="0" t="str">
        <f aca="false">IF(IF('Model inputs'!B527="",FALSE(),'Model inputs'!B527),'Model inputs'!B97,"")</f>
        <v/>
      </c>
    </row>
    <row r="552" customFormat="false" ht="18" hidden="false" customHeight="false" outlineLevel="0" collapsed="false">
      <c r="A552" s="27" t="s">
        <v>438</v>
      </c>
      <c r="B552" s="0" t="str">
        <f aca="false">IF(IF('Model inputs'!B528="",FALSE(),'Model inputs'!B528),'Model inputs'!C97,"")</f>
        <v/>
      </c>
    </row>
    <row r="553" customFormat="false" ht="18" hidden="false" customHeight="false" outlineLevel="0" collapsed="false">
      <c r="A553" s="27" t="s">
        <v>438</v>
      </c>
      <c r="B553" s="0" t="str">
        <f aca="false">IF(IF('Model inputs'!B529="",FALSE(),'Model inputs'!B529),'Model inputs'!D97,"")</f>
        <v/>
      </c>
    </row>
    <row r="554" customFormat="false" ht="18" hidden="false" customHeight="false" outlineLevel="0" collapsed="false">
      <c r="A554" s="27" t="s">
        <v>438</v>
      </c>
      <c r="B554" s="0" t="str">
        <f aca="false">IF(IF('Model inputs'!B530="",FALSE(),'Model inputs'!B530),'Model inputs'!E97,"")</f>
        <v/>
      </c>
    </row>
    <row r="555" customFormat="false" ht="18" hidden="false" customHeight="false" outlineLevel="0" collapsed="false">
      <c r="A555" s="27" t="s">
        <v>438</v>
      </c>
      <c r="B555" s="0" t="str">
        <f aca="false">IF(IF('Model inputs'!B531="",FALSE(),'Model inputs'!B531),'Model inputs'!F97,"")</f>
        <v/>
      </c>
    </row>
    <row r="556" customFormat="false" ht="18" hidden="false" customHeight="false" outlineLevel="0" collapsed="false">
      <c r="A556" s="27" t="s">
        <v>438</v>
      </c>
      <c r="B556" s="0" t="str">
        <f aca="false">IF(IF('Model inputs'!B532="",FALSE(),'Model inputs'!B532),'Model inputs'!G97,"")</f>
        <v/>
      </c>
    </row>
    <row r="557" customFormat="false" ht="18" hidden="false" customHeight="false" outlineLevel="0" collapsed="false">
      <c r="A557" s="27" t="s">
        <v>438</v>
      </c>
      <c r="B557" s="0" t="str">
        <f aca="false">IF(IF('Model inputs'!B533="",FALSE(),'Model inputs'!B533),'Model inputs'!H97,"")</f>
        <v/>
      </c>
    </row>
    <row r="558" customFormat="false" ht="18" hidden="false" customHeight="false" outlineLevel="0" collapsed="false">
      <c r="A558" s="27" t="s">
        <v>438</v>
      </c>
      <c r="B558" s="0" t="str">
        <f aca="false">IF(IF('Model inputs'!B534="",FALSE(),'Model inputs'!B534),'Model inputs'!I97,"")</f>
        <v/>
      </c>
    </row>
    <row r="559" customFormat="false" ht="18" hidden="false" customHeight="false" outlineLevel="0" collapsed="false">
      <c r="A559" s="27" t="s">
        <v>438</v>
      </c>
      <c r="B559" s="0" t="str">
        <f aca="false">IF(IF('Model inputs'!B535="",FALSE(),'Model inputs'!B535),'Model inputs'!J97,"")</f>
        <v/>
      </c>
    </row>
    <row r="560" customFormat="false" ht="18" hidden="false" customHeight="false" outlineLevel="0" collapsed="false">
      <c r="A560" s="27" t="s">
        <v>438</v>
      </c>
      <c r="B560" s="0" t="n">
        <f aca="false">(IF(AND('Model inputs'!B536="",'Model inputs'!B537="",'Model inputs'!B538="",'Model inputs'!B539="",'Model inputs'!B540="",'Model inputs'!B541="",'Model inputs'!B542="",'Model inputs'!B543="",'Model inputs'!B544="",'Model inputs'!B545="",'Model inputs'!B546="",'Model inputs'!B547="",'Model inputs'!B548="",'Model inputs'!B549="",'Model inputs'!B550="",'Model inputs'!B551="",'Model inputs'!B552="",'Model inputs'!B553="",'Model inputs'!B554="",'Model inputs'!B555="",'Model inputs'!B556="",'Model inputs'!B557="",'Model inputs'!B558="",'Model inputs'!B559=""),"",MIN('Model inputs'!B536,'Model inputs'!B537,'Model inputs'!B538,'Model inputs'!B539,'Model inputs'!B540,'Model inputs'!B541,'Model inputs'!B542,'Model inputs'!B543,'Model inputs'!B544,'Model inputs'!B545,'Model inputs'!B546,'Model inputs'!B547,'Model inputs'!B548,'Model inputs'!B549,'Model inputs'!B550,'Model inputs'!B551,'Model inputs'!B552,'Model inputs'!B553,'Model inputs'!B554,'Model inputs'!B555,'Model inputs'!B556,'Model inputs'!B557,'Model inputs'!B558,'Model inputs'!B559)))</f>
        <v>4</v>
      </c>
    </row>
    <row r="561" customFormat="false" ht="18" hidden="false" customHeight="false" outlineLevel="0" collapsed="false">
      <c r="A561" s="27" t="s">
        <v>438</v>
      </c>
      <c r="B561" s="0" t="b">
        <f aca="false">IF(ISERROR('Gainsay economics · Gainsay ope'!B46&gt;0),'Gainsay economics · Gainsay ope'!B46&gt;0,IF('Gainsay economics · Gainsay ope'!B46="","",'Gainsay economics · Gainsay ope'!B46&gt;0))</f>
        <v>0</v>
      </c>
    </row>
    <row r="562" customFormat="false" ht="18" hidden="false" customHeight="false" outlineLevel="0" collapsed="false">
      <c r="A562" s="27" t="s">
        <v>438</v>
      </c>
      <c r="B562" s="0" t="b">
        <f aca="false">IF(IFERROR(DATE(2026,10,1)&gt;=DATE(2026,10,1)=FALSE(),FALSE()),FALSE(),IF(IFERROR(DATE(2026,10,1)&lt;=DATE(2027,12,1)=FALSE(),FALSE()),FALSE(),IF(IFERROR('Model inputs'!B561=FALSE(),FALSE()),FALSE(),IF('Model inputs'!B561="","",AND(DATE(2026,10,1)&gt;=DATE(2026,10,1),DATE(2026,10,1)&lt;=DATE(2027,12,1),'Model inputs'!B561)))))</f>
        <v>0</v>
      </c>
    </row>
    <row r="563" customFormat="false" ht="18" hidden="false" customHeight="false" outlineLevel="0" collapsed="false">
      <c r="A563" s="27" t="s">
        <v>438</v>
      </c>
      <c r="B563" s="0" t="b">
        <f aca="false">IF(ISERROR('Gainsay economics · Gainsay ope'!C46&gt;0),'Gainsay economics · Gainsay ope'!C46&gt;0,IF('Gainsay economics · Gainsay ope'!C46="","",'Gainsay economics · Gainsay ope'!C46&gt;0))</f>
        <v>0</v>
      </c>
    </row>
    <row r="564" customFormat="false" ht="18" hidden="false" customHeight="false" outlineLevel="0" collapsed="false">
      <c r="A564" s="27" t="s">
        <v>438</v>
      </c>
      <c r="B564" s="0" t="b">
        <f aca="false">IF(IFERROR(DATE(2026,11,1)&gt;=DATE(2026,10,1)=FALSE(),FALSE()),FALSE(),IF(IFERROR(DATE(2026,11,1)&lt;=DATE(2027,12,1)=FALSE(),FALSE()),FALSE(),IF(IFERROR('Model inputs'!B563=FALSE(),FALSE()),FALSE(),IF('Model inputs'!B563="","",AND(DATE(2026,11,1)&gt;=DATE(2026,10,1),DATE(2026,11,1)&lt;=DATE(2027,12,1),'Model inputs'!B563)))))</f>
        <v>0</v>
      </c>
    </row>
    <row r="565" customFormat="false" ht="18" hidden="false" customHeight="false" outlineLevel="0" collapsed="false">
      <c r="A565" s="27" t="s">
        <v>438</v>
      </c>
      <c r="B565" s="0" t="b">
        <f aca="false">IF(ISERROR('Gainsay economics · Gainsay ope'!D46&gt;0),'Gainsay economics · Gainsay ope'!D46&gt;0,IF('Gainsay economics · Gainsay ope'!D46="","",'Gainsay economics · Gainsay ope'!D46&gt;0))</f>
        <v>0</v>
      </c>
    </row>
    <row r="566" customFormat="false" ht="18" hidden="false" customHeight="false" outlineLevel="0" collapsed="false">
      <c r="A566" s="27" t="s">
        <v>438</v>
      </c>
      <c r="B566" s="0" t="b">
        <f aca="false">IF(IFERROR(DATE(2026,12,1)&gt;=DATE(2026,10,1)=FALSE(),FALSE()),FALSE(),IF(IFERROR(DATE(2026,12,1)&lt;=DATE(2027,12,1)=FALSE(),FALSE()),FALSE(),IF(IFERROR('Model inputs'!B565=FALSE(),FALSE()),FALSE(),IF('Model inputs'!B565="","",AND(DATE(2026,12,1)&gt;=DATE(2026,10,1),DATE(2026,12,1)&lt;=DATE(2027,12,1),'Model inputs'!B565)))))</f>
        <v>0</v>
      </c>
    </row>
    <row r="567" customFormat="false" ht="18" hidden="false" customHeight="false" outlineLevel="0" collapsed="false">
      <c r="A567" s="27" t="s">
        <v>438</v>
      </c>
      <c r="B567" s="0" t="b">
        <f aca="false">IF(ISERROR('Gainsay economics · Gainsay ope'!E46&gt;0),'Gainsay economics · Gainsay ope'!E46&gt;0,IF('Gainsay economics · Gainsay ope'!E46="","",'Gainsay economics · Gainsay ope'!E46&gt;0))</f>
        <v>0</v>
      </c>
    </row>
    <row r="568" customFormat="false" ht="18" hidden="false" customHeight="false" outlineLevel="0" collapsed="false">
      <c r="A568" s="27" t="s">
        <v>438</v>
      </c>
      <c r="B568" s="0" t="b">
        <f aca="false">IF(IFERROR(DATE(2027,1,1)&gt;=DATE(2026,10,1)=FALSE(),FALSE()),FALSE(),IF(IFERROR(DATE(2027,1,1)&lt;=DATE(2027,12,1)=FALSE(),FALSE()),FALSE(),IF(IFERROR('Model inputs'!B567=FALSE(),FALSE()),FALSE(),IF('Model inputs'!B567="","",AND(DATE(2027,1,1)&gt;=DATE(2026,10,1),DATE(2027,1,1)&lt;=DATE(2027,12,1),'Model inputs'!B567)))))</f>
        <v>0</v>
      </c>
    </row>
    <row r="569" customFormat="false" ht="18" hidden="false" customHeight="false" outlineLevel="0" collapsed="false">
      <c r="A569" s="27" t="s">
        <v>438</v>
      </c>
      <c r="B569" s="0" t="b">
        <f aca="false">IF(ISERROR('Gainsay economics · Gainsay ope'!F46&gt;0),'Gainsay economics · Gainsay ope'!F46&gt;0,IF('Gainsay economics · Gainsay ope'!F46="","",'Gainsay economics · Gainsay ope'!F46&gt;0))</f>
        <v>0</v>
      </c>
    </row>
    <row r="570" customFormat="false" ht="18" hidden="false" customHeight="false" outlineLevel="0" collapsed="false">
      <c r="A570" s="27" t="s">
        <v>438</v>
      </c>
      <c r="B570" s="0" t="b">
        <f aca="false">IF(IFERROR(DATE(2027,2,1)&gt;=DATE(2026,10,1)=FALSE(),FALSE()),FALSE(),IF(IFERROR(DATE(2027,2,1)&lt;=DATE(2027,12,1)=FALSE(),FALSE()),FALSE(),IF(IFERROR('Model inputs'!B569=FALSE(),FALSE()),FALSE(),IF('Model inputs'!B569="","",AND(DATE(2027,2,1)&gt;=DATE(2026,10,1),DATE(2027,2,1)&lt;=DATE(2027,12,1),'Model inputs'!B569)))))</f>
        <v>0</v>
      </c>
    </row>
    <row r="571" customFormat="false" ht="18" hidden="false" customHeight="false" outlineLevel="0" collapsed="false">
      <c r="A571" s="27" t="s">
        <v>438</v>
      </c>
      <c r="B571" s="0" t="b">
        <f aca="false">IF(ISERROR('Gainsay economics · Gainsay ope'!G46&gt;0),'Gainsay economics · Gainsay ope'!G46&gt;0,IF('Gainsay economics · Gainsay ope'!G46="","",'Gainsay economics · Gainsay ope'!G46&gt;0))</f>
        <v>0</v>
      </c>
    </row>
    <row r="572" customFormat="false" ht="18" hidden="false" customHeight="false" outlineLevel="0" collapsed="false">
      <c r="A572" s="27" t="s">
        <v>438</v>
      </c>
      <c r="B572" s="0" t="b">
        <f aca="false">IF(IFERROR(DATE(2027,3,1)&gt;=DATE(2026,10,1)=FALSE(),FALSE()),FALSE(),IF(IFERROR(DATE(2027,3,1)&lt;=DATE(2027,12,1)=FALSE(),FALSE()),FALSE(),IF(IFERROR('Model inputs'!B571=FALSE(),FALSE()),FALSE(),IF('Model inputs'!B571="","",AND(DATE(2027,3,1)&gt;=DATE(2026,10,1),DATE(2027,3,1)&lt;=DATE(2027,12,1),'Model inputs'!B571)))))</f>
        <v>0</v>
      </c>
    </row>
    <row r="573" customFormat="false" ht="18" hidden="false" customHeight="false" outlineLevel="0" collapsed="false">
      <c r="A573" s="27" t="s">
        <v>438</v>
      </c>
      <c r="B573" s="0" t="b">
        <f aca="false">IF(ISERROR('Gainsay economics · Gainsay ope'!H46&gt;0),'Gainsay economics · Gainsay ope'!H46&gt;0,IF('Gainsay economics · Gainsay ope'!H46="","",'Gainsay economics · Gainsay ope'!H46&gt;0))</f>
        <v>0</v>
      </c>
    </row>
    <row r="574" customFormat="false" ht="18" hidden="false" customHeight="false" outlineLevel="0" collapsed="false">
      <c r="A574" s="27" t="s">
        <v>438</v>
      </c>
      <c r="B574" s="0" t="b">
        <f aca="false">IF(IFERROR(DATE(2027,4,1)&gt;=DATE(2026,10,1)=FALSE(),FALSE()),FALSE(),IF(IFERROR(DATE(2027,4,1)&lt;=DATE(2027,12,1)=FALSE(),FALSE()),FALSE(),IF(IFERROR('Model inputs'!B573=FALSE(),FALSE()),FALSE(),IF('Model inputs'!B573="","",AND(DATE(2027,4,1)&gt;=DATE(2026,10,1),DATE(2027,4,1)&lt;=DATE(2027,12,1),'Model inputs'!B573)))))</f>
        <v>0</v>
      </c>
    </row>
    <row r="575" customFormat="false" ht="18" hidden="false" customHeight="false" outlineLevel="0" collapsed="false">
      <c r="A575" s="27" t="s">
        <v>438</v>
      </c>
      <c r="B575" s="0" t="b">
        <f aca="false">IF(ISERROR('Gainsay economics · Gainsay ope'!I46&gt;0),'Gainsay economics · Gainsay ope'!I46&gt;0,IF('Gainsay economics · Gainsay ope'!I46="","",'Gainsay economics · Gainsay ope'!I46&gt;0))</f>
        <v>0</v>
      </c>
    </row>
    <row r="576" customFormat="false" ht="18" hidden="false" customHeight="false" outlineLevel="0" collapsed="false">
      <c r="A576" s="27" t="s">
        <v>438</v>
      </c>
      <c r="B576" s="0" t="b">
        <f aca="false">IF(IFERROR(DATE(2027,5,1)&gt;=DATE(2026,10,1)=FALSE(),FALSE()),FALSE(),IF(IFERROR(DATE(2027,5,1)&lt;=DATE(2027,12,1)=FALSE(),FALSE()),FALSE(),IF(IFERROR('Model inputs'!B575=FALSE(),FALSE()),FALSE(),IF('Model inputs'!B575="","",AND(DATE(2027,5,1)&gt;=DATE(2026,10,1),DATE(2027,5,1)&lt;=DATE(2027,12,1),'Model inputs'!B575)))))</f>
        <v>0</v>
      </c>
    </row>
    <row r="577" customFormat="false" ht="18" hidden="false" customHeight="false" outlineLevel="0" collapsed="false">
      <c r="A577" s="27" t="s">
        <v>438</v>
      </c>
      <c r="B577" s="0" t="b">
        <f aca="false">IF(ISERROR('Gainsay economics · Gainsay ope'!J46&gt;0),'Gainsay economics · Gainsay ope'!J46&gt;0,IF('Gainsay economics · Gainsay ope'!J46="","",'Gainsay economics · Gainsay ope'!J46&gt;0))</f>
        <v>0</v>
      </c>
    </row>
    <row r="578" customFormat="false" ht="18" hidden="false" customHeight="false" outlineLevel="0" collapsed="false">
      <c r="A578" s="27" t="s">
        <v>438</v>
      </c>
      <c r="B578" s="0" t="b">
        <f aca="false">IF(IFERROR(DATE(2027,6,1)&gt;=DATE(2026,10,1)=FALSE(),FALSE()),FALSE(),IF(IFERROR(DATE(2027,6,1)&lt;=DATE(2027,12,1)=FALSE(),FALSE()),FALSE(),IF(IFERROR('Model inputs'!B577=FALSE(),FALSE()),FALSE(),IF('Model inputs'!B577="","",AND(DATE(2027,6,1)&gt;=DATE(2026,10,1),DATE(2027,6,1)&lt;=DATE(2027,12,1),'Model inputs'!B577)))))</f>
        <v>0</v>
      </c>
    </row>
    <row r="579" customFormat="false" ht="18" hidden="false" customHeight="false" outlineLevel="0" collapsed="false">
      <c r="A579" s="27" t="s">
        <v>438</v>
      </c>
      <c r="B579" s="0" t="b">
        <f aca="false">IF(ISERROR('Gainsay economics · Gainsay ope'!K46&gt;0),'Gainsay economics · Gainsay ope'!K46&gt;0,IF('Gainsay economics · Gainsay ope'!K46="","",'Gainsay economics · Gainsay ope'!K46&gt;0))</f>
        <v>1</v>
      </c>
    </row>
    <row r="580" customFormat="false" ht="18" hidden="false" customHeight="false" outlineLevel="0" collapsed="false">
      <c r="A580" s="27" t="s">
        <v>438</v>
      </c>
      <c r="B580" s="0" t="b">
        <f aca="false">IF(IFERROR(DATE(2027,7,1)&gt;=DATE(2026,10,1)=FALSE(),FALSE()),FALSE(),IF(IFERROR(DATE(2027,7,1)&lt;=DATE(2027,12,1)=FALSE(),FALSE()),FALSE(),IF(IFERROR('Model inputs'!B579=FALSE(),FALSE()),FALSE(),IF('Model inputs'!B579="","",AND(DATE(2027,7,1)&gt;=DATE(2026,10,1),DATE(2027,7,1)&lt;=DATE(2027,12,1),'Model inputs'!B579)))))</f>
        <v>1</v>
      </c>
    </row>
    <row r="581" customFormat="false" ht="18" hidden="false" customHeight="false" outlineLevel="0" collapsed="false">
      <c r="A581" s="27" t="s">
        <v>438</v>
      </c>
      <c r="B581" s="0" t="b">
        <f aca="false">IF(ISERROR('Gainsay economics · Gainsay ope'!L46&gt;0),'Gainsay economics · Gainsay ope'!L46&gt;0,IF('Gainsay economics · Gainsay ope'!L46="","",'Gainsay economics · Gainsay ope'!L46&gt;0))</f>
        <v>1</v>
      </c>
    </row>
    <row r="582" customFormat="false" ht="18" hidden="false" customHeight="false" outlineLevel="0" collapsed="false">
      <c r="A582" s="27" t="s">
        <v>438</v>
      </c>
      <c r="B582" s="0" t="b">
        <f aca="false">IF(IFERROR(DATE(2027,8,1)&gt;=DATE(2026,10,1)=FALSE(),FALSE()),FALSE(),IF(IFERROR(DATE(2027,8,1)&lt;=DATE(2027,12,1)=FALSE(),FALSE()),FALSE(),IF(IFERROR('Model inputs'!B581=FALSE(),FALSE()),FALSE(),IF('Model inputs'!B581="","",AND(DATE(2027,8,1)&gt;=DATE(2026,10,1),DATE(2027,8,1)&lt;=DATE(2027,12,1),'Model inputs'!B581)))))</f>
        <v>1</v>
      </c>
    </row>
    <row r="583" customFormat="false" ht="18" hidden="false" customHeight="false" outlineLevel="0" collapsed="false">
      <c r="A583" s="27" t="s">
        <v>438</v>
      </c>
      <c r="B583" s="0" t="b">
        <f aca="false">IF(ISERROR('Gainsay economics · Gainsay ope'!M46&gt;0),'Gainsay economics · Gainsay ope'!M46&gt;0,IF('Gainsay economics · Gainsay ope'!M46="","",'Gainsay economics · Gainsay ope'!M46&gt;0))</f>
        <v>1</v>
      </c>
    </row>
    <row r="584" customFormat="false" ht="18" hidden="false" customHeight="false" outlineLevel="0" collapsed="false">
      <c r="A584" s="27" t="s">
        <v>438</v>
      </c>
      <c r="B584" s="0" t="b">
        <f aca="false">IF(IFERROR(DATE(2027,9,1)&gt;=DATE(2026,10,1)=FALSE(),FALSE()),FALSE(),IF(IFERROR(DATE(2027,9,1)&lt;=DATE(2027,12,1)=FALSE(),FALSE()),FALSE(),IF(IFERROR('Model inputs'!B583=FALSE(),FALSE()),FALSE(),IF('Model inputs'!B583="","",AND(DATE(2027,9,1)&gt;=DATE(2026,10,1),DATE(2027,9,1)&lt;=DATE(2027,12,1),'Model inputs'!B583)))))</f>
        <v>1</v>
      </c>
    </row>
    <row r="585" customFormat="false" ht="18" hidden="false" customHeight="false" outlineLevel="0" collapsed="false">
      <c r="A585" s="27" t="s">
        <v>438</v>
      </c>
      <c r="B585" s="0" t="b">
        <f aca="false">IF(ISERROR('Gainsay economics · Gainsay ope'!N46&gt;0),'Gainsay economics · Gainsay ope'!N46&gt;0,IF('Gainsay economics · Gainsay ope'!N46="","",'Gainsay economics · Gainsay ope'!N46&gt;0))</f>
        <v>1</v>
      </c>
    </row>
    <row r="586" customFormat="false" ht="18" hidden="false" customHeight="false" outlineLevel="0" collapsed="false">
      <c r="A586" s="27" t="s">
        <v>438</v>
      </c>
      <c r="B586" s="0" t="b">
        <f aca="false">IF(IFERROR(DATE(2027,10,1)&gt;=DATE(2026,10,1)=FALSE(),FALSE()),FALSE(),IF(IFERROR(DATE(2027,10,1)&lt;=DATE(2027,12,1)=FALSE(),FALSE()),FALSE(),IF(IFERROR('Model inputs'!B585=FALSE(),FALSE()),FALSE(),IF('Model inputs'!B585="","",AND(DATE(2027,10,1)&gt;=DATE(2026,10,1),DATE(2027,10,1)&lt;=DATE(2027,12,1),'Model inputs'!B585)))))</f>
        <v>1</v>
      </c>
    </row>
    <row r="587" customFormat="false" ht="18" hidden="false" customHeight="false" outlineLevel="0" collapsed="false">
      <c r="A587" s="27" t="s">
        <v>438</v>
      </c>
      <c r="B587" s="0" t="b">
        <f aca="false">IF(ISERROR('Gainsay economics · Gainsay ope'!O46&gt;0),'Gainsay economics · Gainsay ope'!O46&gt;0,IF('Gainsay economics · Gainsay ope'!O46="","",'Gainsay economics · Gainsay ope'!O46&gt;0))</f>
        <v>1</v>
      </c>
    </row>
    <row r="588" customFormat="false" ht="18" hidden="false" customHeight="false" outlineLevel="0" collapsed="false">
      <c r="A588" s="27" t="s">
        <v>438</v>
      </c>
      <c r="B588" s="0" t="b">
        <f aca="false">IF(IFERROR(DATE(2027,11,1)&gt;=DATE(2026,10,1)=FALSE(),FALSE()),FALSE(),IF(IFERROR(DATE(2027,11,1)&lt;=DATE(2027,12,1)=FALSE(),FALSE()),FALSE(),IF(IFERROR('Model inputs'!B587=FALSE(),FALSE()),FALSE(),IF('Model inputs'!B587="","",AND(DATE(2027,11,1)&gt;=DATE(2026,10,1),DATE(2027,11,1)&lt;=DATE(2027,12,1),'Model inputs'!B587)))))</f>
        <v>1</v>
      </c>
    </row>
    <row r="589" customFormat="false" ht="18" hidden="false" customHeight="false" outlineLevel="0" collapsed="false">
      <c r="A589" s="27" t="s">
        <v>438</v>
      </c>
      <c r="B589" s="0" t="b">
        <f aca="false">IF(ISERROR('Gainsay economics · Gainsay ope'!P46&gt;0),'Gainsay economics · Gainsay ope'!P46&gt;0,IF('Gainsay economics · Gainsay ope'!P46="","",'Gainsay economics · Gainsay ope'!P46&gt;0))</f>
        <v>1</v>
      </c>
    </row>
    <row r="590" customFormat="false" ht="18" hidden="false" customHeight="false" outlineLevel="0" collapsed="false">
      <c r="A590" s="27" t="s">
        <v>438</v>
      </c>
      <c r="B590" s="0" t="b">
        <f aca="false">IF(IFERROR(DATE(2027,12,1)&gt;=DATE(2026,10,1)=FALSE(),FALSE()),FALSE(),IF(IFERROR(DATE(2027,12,1)&lt;=DATE(2027,12,1)=FALSE(),FALSE()),FALSE(),IF(IFERROR('Model inputs'!B589=FALSE(),FALSE()),FALSE(),IF('Model inputs'!B589="","",AND(DATE(2027,12,1)&gt;=DATE(2026,10,1),DATE(2027,12,1)&lt;=DATE(2027,12,1),'Model inputs'!B589)))))</f>
        <v>1</v>
      </c>
    </row>
    <row r="591" customFormat="false" ht="18" hidden="false" customHeight="false" outlineLevel="0" collapsed="false">
      <c r="A591" s="27" t="s">
        <v>438</v>
      </c>
      <c r="B591" s="0" t="b">
        <f aca="false">IF(IFERROR(DATE(2026,1,1)&gt;=DATE(2026,10,1)=FALSE(),FALSE()),FALSE(),IF(IFERROR(DATE(2026,1,1)&lt;=DATE(2027,12,1)=FALSE(),FALSE()),FALSE(),IF(IFERROR(IF(ISERROR('Model inputs'!B16&gt;0),'Model inputs'!B16&gt;0,IF('Model inputs'!B16="","",'Model inputs'!B16&gt;0))=FALSE(),FALSE()),FALSE(),IF(IF(ISERROR('Model inputs'!B16&gt;0),'Model inputs'!B16&gt;0,IF('Model inputs'!B16="","",'Model inputs'!B16&gt;0))="","",AND(DATE(2026,1,1)&gt;=DATE(2026,10,1),DATE(2026,1,1)&lt;=DATE(2027,12,1),IF(ISERROR('Model inputs'!B16&gt;0),'Model inputs'!B16&gt;0,IF('Model inputs'!B16="","",'Model inputs'!B16&gt;0)))))))</f>
        <v>0</v>
      </c>
    </row>
    <row r="592" customFormat="false" ht="18" hidden="false" customHeight="false" outlineLevel="0" collapsed="false">
      <c r="A592" s="27" t="s">
        <v>438</v>
      </c>
      <c r="B592" s="0" t="b">
        <f aca="false">IF(IFERROR(DATE(2026,2,1)&gt;=DATE(2026,10,1)=FALSE(),FALSE()),FALSE(),IF(IFERROR(DATE(2026,2,1)&lt;=DATE(2027,12,1)=FALSE(),FALSE()),FALSE(),IF(IFERROR(IF(ISERROR('Model inputs'!C16&gt;0),'Model inputs'!C16&gt;0,IF('Model inputs'!C16="","",'Model inputs'!C16&gt;0))=FALSE(),FALSE()),FALSE(),IF(IF(ISERROR('Model inputs'!C16&gt;0),'Model inputs'!C16&gt;0,IF('Model inputs'!C16="","",'Model inputs'!C16&gt;0))="","",AND(DATE(2026,2,1)&gt;=DATE(2026,10,1),DATE(2026,2,1)&lt;=DATE(2027,12,1),IF(ISERROR('Model inputs'!C16&gt;0),'Model inputs'!C16&gt;0,IF('Model inputs'!C16="","",'Model inputs'!C16&gt;0)))))))</f>
        <v>0</v>
      </c>
    </row>
    <row r="593" customFormat="false" ht="18" hidden="false" customHeight="false" outlineLevel="0" collapsed="false">
      <c r="A593" s="27" t="s">
        <v>438</v>
      </c>
      <c r="B593" s="0" t="b">
        <f aca="false">IF(IFERROR(DATE(2026,3,1)&gt;=DATE(2026,10,1)=FALSE(),FALSE()),FALSE(),IF(IFERROR(DATE(2026,3,1)&lt;=DATE(2027,12,1)=FALSE(),FALSE()),FALSE(),IF(IFERROR(IF(ISERROR('Model inputs'!D16&gt;0),'Model inputs'!D16&gt;0,IF('Model inputs'!D16="","",'Model inputs'!D16&gt;0))=FALSE(),FALSE()),FALSE(),IF(IF(ISERROR('Model inputs'!D16&gt;0),'Model inputs'!D16&gt;0,IF('Model inputs'!D16="","",'Model inputs'!D16&gt;0))="","",AND(DATE(2026,3,1)&gt;=DATE(2026,10,1),DATE(2026,3,1)&lt;=DATE(2027,12,1),IF(ISERROR('Model inputs'!D16&gt;0),'Model inputs'!D16&gt;0,IF('Model inputs'!D16="","",'Model inputs'!D16&gt;0)))))))</f>
        <v>0</v>
      </c>
    </row>
    <row r="594" customFormat="false" ht="18" hidden="false" customHeight="false" outlineLevel="0" collapsed="false">
      <c r="A594" s="27" t="s">
        <v>438</v>
      </c>
      <c r="B594" s="0" t="b">
        <f aca="false">IF(IFERROR(DATE(2026,4,1)&gt;=DATE(2026,10,1)=FALSE(),FALSE()),FALSE(),IF(IFERROR(DATE(2026,4,1)&lt;=DATE(2027,12,1)=FALSE(),FALSE()),FALSE(),IF(IFERROR(IF(ISERROR('Model inputs'!E16&gt;0),'Model inputs'!E16&gt;0,IF('Model inputs'!E16="","",'Model inputs'!E16&gt;0))=FALSE(),FALSE()),FALSE(),IF(IF(ISERROR('Model inputs'!E16&gt;0),'Model inputs'!E16&gt;0,IF('Model inputs'!E16="","",'Model inputs'!E16&gt;0))="","",AND(DATE(2026,4,1)&gt;=DATE(2026,10,1),DATE(2026,4,1)&lt;=DATE(2027,12,1),IF(ISERROR('Model inputs'!E16&gt;0),'Model inputs'!E16&gt;0,IF('Model inputs'!E16="","",'Model inputs'!E16&gt;0)))))))</f>
        <v>0</v>
      </c>
    </row>
    <row r="595" customFormat="false" ht="18" hidden="false" customHeight="false" outlineLevel="0" collapsed="false">
      <c r="A595" s="27" t="s">
        <v>438</v>
      </c>
      <c r="B595" s="0" t="b">
        <f aca="false">IF(IFERROR(DATE(2026,5,1)&gt;=DATE(2026,10,1)=FALSE(),FALSE()),FALSE(),IF(IFERROR(DATE(2026,5,1)&lt;=DATE(2027,12,1)=FALSE(),FALSE()),FALSE(),IF(IFERROR(IF(ISERROR('Model inputs'!F16&gt;0),'Model inputs'!F16&gt;0,IF('Model inputs'!F16="","",'Model inputs'!F16&gt;0))=FALSE(),FALSE()),FALSE(),IF(IF(ISERROR('Model inputs'!F16&gt;0),'Model inputs'!F16&gt;0,IF('Model inputs'!F16="","",'Model inputs'!F16&gt;0))="","",AND(DATE(2026,5,1)&gt;=DATE(2026,10,1),DATE(2026,5,1)&lt;=DATE(2027,12,1),IF(ISERROR('Model inputs'!F16&gt;0),'Model inputs'!F16&gt;0,IF('Model inputs'!F16="","",'Model inputs'!F16&gt;0)))))))</f>
        <v>0</v>
      </c>
    </row>
    <row r="596" customFormat="false" ht="18" hidden="false" customHeight="false" outlineLevel="0" collapsed="false">
      <c r="A596" s="27" t="s">
        <v>438</v>
      </c>
      <c r="B596" s="0" t="b">
        <f aca="false">IF(IFERROR(DATE(2026,6,1)&gt;=DATE(2026,10,1)=FALSE(),FALSE()),FALSE(),IF(IFERROR(DATE(2026,6,1)&lt;=DATE(2027,12,1)=FALSE(),FALSE()),FALSE(),IF(IFERROR(IF(ISERROR('Model inputs'!G16&gt;0),'Model inputs'!G16&gt;0,IF('Model inputs'!G16="","",'Model inputs'!G16&gt;0))=FALSE(),FALSE()),FALSE(),IF(IF(ISERROR('Model inputs'!G16&gt;0),'Model inputs'!G16&gt;0,IF('Model inputs'!G16="","",'Model inputs'!G16&gt;0))="","",AND(DATE(2026,6,1)&gt;=DATE(2026,10,1),DATE(2026,6,1)&lt;=DATE(2027,12,1),IF(ISERROR('Model inputs'!G16&gt;0),'Model inputs'!G16&gt;0,IF('Model inputs'!G16="","",'Model inputs'!G16&gt;0)))))))</f>
        <v>0</v>
      </c>
    </row>
    <row r="597" customFormat="false" ht="18" hidden="false" customHeight="false" outlineLevel="0" collapsed="false">
      <c r="A597" s="27" t="s">
        <v>438</v>
      </c>
      <c r="B597" s="0" t="b">
        <f aca="false">IF(IFERROR(DATE(2026,7,1)&gt;=DATE(2026,10,1)=FALSE(),FALSE()),FALSE(),IF(IFERROR(DATE(2026,7,1)&lt;=DATE(2027,12,1)=FALSE(),FALSE()),FALSE(),IF(IFERROR(IF(ISERROR('Model inputs'!H16&gt;0),'Model inputs'!H16&gt;0,IF('Model inputs'!H16="","",'Model inputs'!H16&gt;0))=FALSE(),FALSE()),FALSE(),IF(IF(ISERROR('Model inputs'!H16&gt;0),'Model inputs'!H16&gt;0,IF('Model inputs'!H16="","",'Model inputs'!H16&gt;0))="","",AND(DATE(2026,7,1)&gt;=DATE(2026,10,1),DATE(2026,7,1)&lt;=DATE(2027,12,1),IF(ISERROR('Model inputs'!H16&gt;0),'Model inputs'!H16&gt;0,IF('Model inputs'!H16="","",'Model inputs'!H16&gt;0)))))))</f>
        <v>0</v>
      </c>
    </row>
    <row r="598" customFormat="false" ht="18" hidden="false" customHeight="false" outlineLevel="0" collapsed="false">
      <c r="A598" s="27" t="s">
        <v>438</v>
      </c>
      <c r="B598" s="0" t="b">
        <f aca="false">IF(IFERROR(DATE(2026,8,1)&gt;=DATE(2026,10,1)=FALSE(),FALSE()),FALSE(),IF(IFERROR(DATE(2026,8,1)&lt;=DATE(2027,12,1)=FALSE(),FALSE()),FALSE(),IF(IFERROR(IF(ISERROR('Model inputs'!I16&gt;0),'Model inputs'!I16&gt;0,IF('Model inputs'!I16="","",'Model inputs'!I16&gt;0))=FALSE(),FALSE()),FALSE(),IF(IF(ISERROR('Model inputs'!I16&gt;0),'Model inputs'!I16&gt;0,IF('Model inputs'!I16="","",'Model inputs'!I16&gt;0))="","",AND(DATE(2026,8,1)&gt;=DATE(2026,10,1),DATE(2026,8,1)&lt;=DATE(2027,12,1),IF(ISERROR('Model inputs'!I16&gt;0),'Model inputs'!I16&gt;0,IF('Model inputs'!I16="","",'Model inputs'!I16&gt;0)))))))</f>
        <v>0</v>
      </c>
    </row>
    <row r="599" customFormat="false" ht="18" hidden="false" customHeight="false" outlineLevel="0" collapsed="false">
      <c r="A599" s="27" t="s">
        <v>438</v>
      </c>
      <c r="B599" s="0" t="b">
        <f aca="false">IF(IFERROR(DATE(2026,9,1)&gt;=DATE(2026,10,1)=FALSE(),FALSE()),FALSE(),IF(IFERROR(DATE(2026,9,1)&lt;=DATE(2027,12,1)=FALSE(),FALSE()),FALSE(),IF(IFERROR(IF(ISERROR('Model inputs'!J16&gt;0),'Model inputs'!J16&gt;0,IF('Model inputs'!J16="","",'Model inputs'!J16&gt;0))=FALSE(),FALSE()),FALSE(),IF(IF(ISERROR('Model inputs'!J16&gt;0),'Model inputs'!J16&gt;0,IF('Model inputs'!J16="","",'Model inputs'!J16&gt;0))="","",AND(DATE(2026,9,1)&gt;=DATE(2026,10,1),DATE(2026,9,1)&lt;=DATE(2027,12,1),IF(ISERROR('Model inputs'!J16&gt;0),'Model inputs'!J16&gt;0,IF('Model inputs'!J16="","",'Model inputs'!J16&gt;0)))))))</f>
        <v>0</v>
      </c>
    </row>
    <row r="600" customFormat="false" ht="18" hidden="false" customHeight="false" outlineLevel="0" collapsed="false">
      <c r="A600" s="27" t="s">
        <v>438</v>
      </c>
      <c r="B600" s="0" t="str">
        <f aca="false">IF(IF('Model inputs'!B562="",FALSE(),'Model inputs'!B562),'Gainsay economics · Gainsay ope'!B42,"")</f>
        <v/>
      </c>
    </row>
    <row r="601" customFormat="false" ht="18" hidden="false" customHeight="false" outlineLevel="0" collapsed="false">
      <c r="A601" s="27" t="s">
        <v>438</v>
      </c>
      <c r="B601" s="0" t="str">
        <f aca="false">IF(IF('Model inputs'!B564="",FALSE(),'Model inputs'!B564),'Gainsay economics · Gainsay ope'!C42,"")</f>
        <v/>
      </c>
    </row>
    <row r="602" customFormat="false" ht="18" hidden="false" customHeight="false" outlineLevel="0" collapsed="false">
      <c r="A602" s="27" t="s">
        <v>438</v>
      </c>
      <c r="B602" s="0" t="str">
        <f aca="false">IF(IF('Model inputs'!B566="",FALSE(),'Model inputs'!B566),'Gainsay economics · Gainsay ope'!D42,"")</f>
        <v/>
      </c>
    </row>
    <row r="603" customFormat="false" ht="18" hidden="false" customHeight="false" outlineLevel="0" collapsed="false">
      <c r="A603" s="27" t="s">
        <v>438</v>
      </c>
      <c r="B603" s="0" t="str">
        <f aca="false">IF(IF('Model inputs'!B568="",FALSE(),'Model inputs'!B568),'Gainsay economics · Gainsay ope'!E42,"")</f>
        <v/>
      </c>
    </row>
    <row r="604" customFormat="false" ht="18" hidden="false" customHeight="false" outlineLevel="0" collapsed="false">
      <c r="A604" s="27" t="s">
        <v>438</v>
      </c>
      <c r="B604" s="0" t="str">
        <f aca="false">IF(IF('Model inputs'!B570="",FALSE(),'Model inputs'!B570),'Gainsay economics · Gainsay ope'!F42,"")</f>
        <v/>
      </c>
    </row>
    <row r="605" customFormat="false" ht="18" hidden="false" customHeight="false" outlineLevel="0" collapsed="false">
      <c r="A605" s="27" t="s">
        <v>438</v>
      </c>
      <c r="B605" s="0" t="str">
        <f aca="false">IF(IF('Model inputs'!B572="",FALSE(),'Model inputs'!B572),'Gainsay economics · Gainsay ope'!G42,"")</f>
        <v/>
      </c>
    </row>
    <row r="606" customFormat="false" ht="18" hidden="false" customHeight="false" outlineLevel="0" collapsed="false">
      <c r="A606" s="27" t="s">
        <v>438</v>
      </c>
      <c r="B606" s="0" t="str">
        <f aca="false">IF(IF('Model inputs'!B574="",FALSE(),'Model inputs'!B574),'Gainsay economics · Gainsay ope'!H42,"")</f>
        <v/>
      </c>
    </row>
    <row r="607" customFormat="false" ht="18" hidden="false" customHeight="false" outlineLevel="0" collapsed="false">
      <c r="A607" s="27" t="s">
        <v>438</v>
      </c>
      <c r="B607" s="0" t="str">
        <f aca="false">IF(IF('Model inputs'!B576="",FALSE(),'Model inputs'!B576),'Gainsay economics · Gainsay ope'!I42,"")</f>
        <v/>
      </c>
    </row>
    <row r="608" customFormat="false" ht="18" hidden="false" customHeight="false" outlineLevel="0" collapsed="false">
      <c r="A608" s="27" t="s">
        <v>438</v>
      </c>
      <c r="B608" s="0" t="str">
        <f aca="false">IF(IF('Model inputs'!B578="",FALSE(),'Model inputs'!B578),'Gainsay economics · Gainsay ope'!J42,"")</f>
        <v/>
      </c>
    </row>
    <row r="609" customFormat="false" ht="18" hidden="false" customHeight="false" outlineLevel="0" collapsed="false">
      <c r="A609" s="27" t="s">
        <v>438</v>
      </c>
      <c r="B609" s="0" t="n">
        <f aca="false">IF(IF('Model inputs'!B580="",FALSE(),'Model inputs'!B580),'Gainsay economics · Gainsay ope'!K42,"")</f>
        <v>10</v>
      </c>
    </row>
    <row r="610" customFormat="false" ht="18" hidden="false" customHeight="false" outlineLevel="0" collapsed="false">
      <c r="A610" s="27" t="s">
        <v>438</v>
      </c>
      <c r="B610" s="0" t="n">
        <f aca="false">IF(IF('Model inputs'!B582="",FALSE(),'Model inputs'!B582),'Gainsay economics · Gainsay ope'!L42,"")</f>
        <v>11</v>
      </c>
    </row>
    <row r="611" customFormat="false" ht="18" hidden="false" customHeight="false" outlineLevel="0" collapsed="false">
      <c r="A611" s="27" t="s">
        <v>438</v>
      </c>
      <c r="B611" s="0" t="n">
        <f aca="false">IF(IF('Model inputs'!B584="",FALSE(),'Model inputs'!B584),'Gainsay economics · Gainsay ope'!M42,"")</f>
        <v>12</v>
      </c>
    </row>
    <row r="612" customFormat="false" ht="18" hidden="false" customHeight="false" outlineLevel="0" collapsed="false">
      <c r="A612" s="27" t="s">
        <v>438</v>
      </c>
      <c r="B612" s="0" t="n">
        <f aca="false">IF(IF('Model inputs'!B586="",FALSE(),'Model inputs'!B586),'Gainsay economics · Gainsay ope'!N42,"")</f>
        <v>13</v>
      </c>
    </row>
    <row r="613" customFormat="false" ht="18" hidden="false" customHeight="false" outlineLevel="0" collapsed="false">
      <c r="A613" s="27" t="s">
        <v>438</v>
      </c>
      <c r="B613" s="0" t="n">
        <f aca="false">IF(IF('Model inputs'!B588="",FALSE(),'Model inputs'!B588),'Gainsay economics · Gainsay ope'!O42,"")</f>
        <v>14</v>
      </c>
    </row>
    <row r="614" customFormat="false" ht="18" hidden="false" customHeight="false" outlineLevel="0" collapsed="false">
      <c r="A614" s="27" t="s">
        <v>438</v>
      </c>
      <c r="B614" s="0" t="n">
        <f aca="false">IF(IF('Model inputs'!B590="",FALSE(),'Model inputs'!B590),'Gainsay economics · Gainsay ope'!P42,"")</f>
        <v>15</v>
      </c>
    </row>
    <row r="615" customFormat="false" ht="18" hidden="false" customHeight="false" outlineLevel="0" collapsed="false">
      <c r="A615" s="27" t="s">
        <v>438</v>
      </c>
      <c r="B615" s="0" t="str">
        <f aca="false">IF(IF('Model inputs'!B591="",FALSE(),'Model inputs'!B591),'Model inputs'!B97,"")</f>
        <v/>
      </c>
    </row>
    <row r="616" customFormat="false" ht="18" hidden="false" customHeight="false" outlineLevel="0" collapsed="false">
      <c r="A616" s="27" t="s">
        <v>438</v>
      </c>
      <c r="B616" s="0" t="str">
        <f aca="false">IF(IF('Model inputs'!B592="",FALSE(),'Model inputs'!B592),'Model inputs'!C97,"")</f>
        <v/>
      </c>
    </row>
    <row r="617" customFormat="false" ht="18" hidden="false" customHeight="false" outlineLevel="0" collapsed="false">
      <c r="A617" s="27" t="s">
        <v>438</v>
      </c>
      <c r="B617" s="0" t="str">
        <f aca="false">IF(IF('Model inputs'!B593="",FALSE(),'Model inputs'!B593),'Model inputs'!D97,"")</f>
        <v/>
      </c>
    </row>
    <row r="618" customFormat="false" ht="18" hidden="false" customHeight="false" outlineLevel="0" collapsed="false">
      <c r="A618" s="27" t="s">
        <v>438</v>
      </c>
      <c r="B618" s="0" t="str">
        <f aca="false">IF(IF('Model inputs'!B594="",FALSE(),'Model inputs'!B594),'Model inputs'!E97,"")</f>
        <v/>
      </c>
    </row>
    <row r="619" customFormat="false" ht="18" hidden="false" customHeight="false" outlineLevel="0" collapsed="false">
      <c r="A619" s="27" t="s">
        <v>438</v>
      </c>
      <c r="B619" s="0" t="str">
        <f aca="false">IF(IF('Model inputs'!B595="",FALSE(),'Model inputs'!B595),'Model inputs'!F97,"")</f>
        <v/>
      </c>
    </row>
    <row r="620" customFormat="false" ht="18" hidden="false" customHeight="false" outlineLevel="0" collapsed="false">
      <c r="A620" s="27" t="s">
        <v>438</v>
      </c>
      <c r="B620" s="0" t="str">
        <f aca="false">IF(IF('Model inputs'!B596="",FALSE(),'Model inputs'!B596),'Model inputs'!G97,"")</f>
        <v/>
      </c>
    </row>
    <row r="621" customFormat="false" ht="18" hidden="false" customHeight="false" outlineLevel="0" collapsed="false">
      <c r="A621" s="27" t="s">
        <v>438</v>
      </c>
      <c r="B621" s="0" t="str">
        <f aca="false">IF(IF('Model inputs'!B597="",FALSE(),'Model inputs'!B597),'Model inputs'!H97,"")</f>
        <v/>
      </c>
    </row>
    <row r="622" customFormat="false" ht="18" hidden="false" customHeight="false" outlineLevel="0" collapsed="false">
      <c r="A622" s="27" t="s">
        <v>438</v>
      </c>
      <c r="B622" s="0" t="str">
        <f aca="false">IF(IF('Model inputs'!B598="",FALSE(),'Model inputs'!B598),'Model inputs'!I97,"")</f>
        <v/>
      </c>
    </row>
    <row r="623" customFormat="false" ht="18" hidden="false" customHeight="false" outlineLevel="0" collapsed="false">
      <c r="A623" s="27" t="s">
        <v>438</v>
      </c>
      <c r="B623" s="0" t="str">
        <f aca="false">IF(IF('Model inputs'!B599="",FALSE(),'Model inputs'!B599),'Model inputs'!J97,"")</f>
        <v/>
      </c>
    </row>
    <row r="624" customFormat="false" ht="18" hidden="false" customHeight="false" outlineLevel="0" collapsed="false">
      <c r="A624" s="27" t="s">
        <v>438</v>
      </c>
      <c r="B624" s="0" t="n">
        <f aca="false">(IF(AND('Model inputs'!B600="",'Model inputs'!B601="",'Model inputs'!B602="",'Model inputs'!B603="",'Model inputs'!B604="",'Model inputs'!B605="",'Model inputs'!B606="",'Model inputs'!B607="",'Model inputs'!B608="",'Model inputs'!B609="",'Model inputs'!B610="",'Model inputs'!B611="",'Model inputs'!B612="",'Model inputs'!B613="",'Model inputs'!B614="",'Model inputs'!B615="",'Model inputs'!B616="",'Model inputs'!B617="",'Model inputs'!B618="",'Model inputs'!B619="",'Model inputs'!B620="",'Model inputs'!B621="",'Model inputs'!B622="",'Model inputs'!B623=""),"",MIN('Model inputs'!B600,'Model inputs'!B601,'Model inputs'!B602,'Model inputs'!B603,'Model inputs'!B604,'Model inputs'!B605,'Model inputs'!B606,'Model inputs'!B607,'Model inputs'!B608,'Model inputs'!B609,'Model inputs'!B610,'Model inputs'!B611,'Model inputs'!B612,'Model inputs'!B613,'Model inputs'!B614,'Model inputs'!B615,'Model inputs'!B616,'Model inputs'!B617,'Model inputs'!B618,'Model inputs'!B619,'Model inputs'!B620,'Model inputs'!B621,'Model inputs'!B622,'Model inputs'!B623)))</f>
        <v>10</v>
      </c>
    </row>
    <row r="625" customFormat="false" ht="18" hidden="false" customHeight="false" outlineLevel="0" collapsed="false">
      <c r="A625" s="27" t="s">
        <v>438</v>
      </c>
      <c r="B625" s="0" t="b">
        <f aca="false">IF(ISERROR('Gainsay economics · Gainsay dat'!B11&gt;0),'Gainsay economics · Gainsay dat'!B11&gt;0,IF('Gainsay economics · Gainsay dat'!B11="","",'Gainsay economics · Gainsay dat'!B11&gt;0))</f>
        <v>0</v>
      </c>
    </row>
    <row r="626" customFormat="false" ht="18" hidden="false" customHeight="false" outlineLevel="0" collapsed="false">
      <c r="A626" s="27" t="s">
        <v>438</v>
      </c>
      <c r="B626" s="0" t="b">
        <f aca="false">IF(IFERROR(DATE(2026,10,1)&gt;=DATE(2026,10,1)=FALSE(),FALSE()),FALSE(),IF(IFERROR(DATE(2026,10,1)&lt;=DATE(2027,12,1)=FALSE(),FALSE()),FALSE(),IF(IFERROR('Model inputs'!B625=FALSE(),FALSE()),FALSE(),IF('Model inputs'!B625="","",AND(DATE(2026,10,1)&gt;=DATE(2026,10,1),DATE(2026,10,1)&lt;=DATE(2027,12,1),'Model inputs'!B625)))))</f>
        <v>0</v>
      </c>
    </row>
    <row r="627" customFormat="false" ht="18" hidden="false" customHeight="false" outlineLevel="0" collapsed="false">
      <c r="A627" s="27" t="s">
        <v>438</v>
      </c>
      <c r="B627" s="0" t="b">
        <f aca="false">IF(ISERROR('Gainsay economics · Gainsay dat'!C11&gt;0),'Gainsay economics · Gainsay dat'!C11&gt;0,IF('Gainsay economics · Gainsay dat'!C11="","",'Gainsay economics · Gainsay dat'!C11&gt;0))</f>
        <v>0</v>
      </c>
    </row>
    <row r="628" customFormat="false" ht="18" hidden="false" customHeight="false" outlineLevel="0" collapsed="false">
      <c r="A628" s="27" t="s">
        <v>438</v>
      </c>
      <c r="B628" s="0" t="b">
        <f aca="false">IF(IFERROR(DATE(2026,11,1)&gt;=DATE(2026,10,1)=FALSE(),FALSE()),FALSE(),IF(IFERROR(DATE(2026,11,1)&lt;=DATE(2027,12,1)=FALSE(),FALSE()),FALSE(),IF(IFERROR('Model inputs'!B627=FALSE(),FALSE()),FALSE(),IF('Model inputs'!B627="","",AND(DATE(2026,11,1)&gt;=DATE(2026,10,1),DATE(2026,11,1)&lt;=DATE(2027,12,1),'Model inputs'!B627)))))</f>
        <v>0</v>
      </c>
    </row>
    <row r="629" customFormat="false" ht="18" hidden="false" customHeight="false" outlineLevel="0" collapsed="false">
      <c r="A629" s="27" t="s">
        <v>438</v>
      </c>
      <c r="B629" s="0" t="b">
        <f aca="false">IF(ISERROR('Gainsay economics · Gainsay dat'!D11&gt;0),'Gainsay economics · Gainsay dat'!D11&gt;0,IF('Gainsay economics · Gainsay dat'!D11="","",'Gainsay economics · Gainsay dat'!D11&gt;0))</f>
        <v>0</v>
      </c>
    </row>
    <row r="630" customFormat="false" ht="18" hidden="false" customHeight="false" outlineLevel="0" collapsed="false">
      <c r="A630" s="27" t="s">
        <v>438</v>
      </c>
      <c r="B630" s="0" t="b">
        <f aca="false">IF(IFERROR(DATE(2026,12,1)&gt;=DATE(2026,10,1)=FALSE(),FALSE()),FALSE(),IF(IFERROR(DATE(2026,12,1)&lt;=DATE(2027,12,1)=FALSE(),FALSE()),FALSE(),IF(IFERROR('Model inputs'!B629=FALSE(),FALSE()),FALSE(),IF('Model inputs'!B629="","",AND(DATE(2026,12,1)&gt;=DATE(2026,10,1),DATE(2026,12,1)&lt;=DATE(2027,12,1),'Model inputs'!B629)))))</f>
        <v>0</v>
      </c>
    </row>
    <row r="631" customFormat="false" ht="18" hidden="false" customHeight="false" outlineLevel="0" collapsed="false">
      <c r="A631" s="27" t="s">
        <v>438</v>
      </c>
      <c r="B631" s="0" t="b">
        <f aca="false">IF(ISERROR('Gainsay economics · Gainsay dat'!E11&gt;0),'Gainsay economics · Gainsay dat'!E11&gt;0,IF('Gainsay economics · Gainsay dat'!E11="","",'Gainsay economics · Gainsay dat'!E11&gt;0))</f>
        <v>0</v>
      </c>
    </row>
    <row r="632" customFormat="false" ht="18" hidden="false" customHeight="false" outlineLevel="0" collapsed="false">
      <c r="A632" s="27" t="s">
        <v>438</v>
      </c>
      <c r="B632" s="0" t="b">
        <f aca="false">IF(IFERROR(DATE(2027,1,1)&gt;=DATE(2026,10,1)=FALSE(),FALSE()),FALSE(),IF(IFERROR(DATE(2027,1,1)&lt;=DATE(2027,12,1)=FALSE(),FALSE()),FALSE(),IF(IFERROR('Model inputs'!B631=FALSE(),FALSE()),FALSE(),IF('Model inputs'!B631="","",AND(DATE(2027,1,1)&gt;=DATE(2026,10,1),DATE(2027,1,1)&lt;=DATE(2027,12,1),'Model inputs'!B631)))))</f>
        <v>0</v>
      </c>
    </row>
    <row r="633" customFormat="false" ht="18" hidden="false" customHeight="false" outlineLevel="0" collapsed="false">
      <c r="A633" s="27" t="s">
        <v>438</v>
      </c>
      <c r="B633" s="0" t="b">
        <f aca="false">IF(ISERROR('Gainsay economics · Gainsay dat'!F11&gt;0),'Gainsay economics · Gainsay dat'!F11&gt;0,IF('Gainsay economics · Gainsay dat'!F11="","",'Gainsay economics · Gainsay dat'!F11&gt;0))</f>
        <v>0</v>
      </c>
    </row>
    <row r="634" customFormat="false" ht="18" hidden="false" customHeight="false" outlineLevel="0" collapsed="false">
      <c r="A634" s="27" t="s">
        <v>438</v>
      </c>
      <c r="B634" s="0" t="b">
        <f aca="false">IF(IFERROR(DATE(2027,2,1)&gt;=DATE(2026,10,1)=FALSE(),FALSE()),FALSE(),IF(IFERROR(DATE(2027,2,1)&lt;=DATE(2027,12,1)=FALSE(),FALSE()),FALSE(),IF(IFERROR('Model inputs'!B633=FALSE(),FALSE()),FALSE(),IF('Model inputs'!B633="","",AND(DATE(2027,2,1)&gt;=DATE(2026,10,1),DATE(2027,2,1)&lt;=DATE(2027,12,1),'Model inputs'!B633)))))</f>
        <v>0</v>
      </c>
    </row>
    <row r="635" customFormat="false" ht="18" hidden="false" customHeight="false" outlineLevel="0" collapsed="false">
      <c r="A635" s="27" t="s">
        <v>438</v>
      </c>
      <c r="B635" s="0" t="b">
        <f aca="false">IF(ISERROR('Gainsay economics · Gainsay dat'!G11&gt;0),'Gainsay economics · Gainsay dat'!G11&gt;0,IF('Gainsay economics · Gainsay dat'!G11="","",'Gainsay economics · Gainsay dat'!G11&gt;0))</f>
        <v>0</v>
      </c>
    </row>
    <row r="636" customFormat="false" ht="18" hidden="false" customHeight="false" outlineLevel="0" collapsed="false">
      <c r="A636" s="27" t="s">
        <v>438</v>
      </c>
      <c r="B636" s="0" t="b">
        <f aca="false">IF(IFERROR(DATE(2027,3,1)&gt;=DATE(2026,10,1)=FALSE(),FALSE()),FALSE(),IF(IFERROR(DATE(2027,3,1)&lt;=DATE(2027,12,1)=FALSE(),FALSE()),FALSE(),IF(IFERROR('Model inputs'!B635=FALSE(),FALSE()),FALSE(),IF('Model inputs'!B635="","",AND(DATE(2027,3,1)&gt;=DATE(2026,10,1),DATE(2027,3,1)&lt;=DATE(2027,12,1),'Model inputs'!B635)))))</f>
        <v>0</v>
      </c>
    </row>
    <row r="637" customFormat="false" ht="18" hidden="false" customHeight="false" outlineLevel="0" collapsed="false">
      <c r="A637" s="27" t="s">
        <v>438</v>
      </c>
      <c r="B637" s="0" t="b">
        <f aca="false">IF(ISERROR('Gainsay economics · Gainsay dat'!H11&gt;0),'Gainsay economics · Gainsay dat'!H11&gt;0,IF('Gainsay economics · Gainsay dat'!H11="","",'Gainsay economics · Gainsay dat'!H11&gt;0))</f>
        <v>0</v>
      </c>
    </row>
    <row r="638" customFormat="false" ht="18" hidden="false" customHeight="false" outlineLevel="0" collapsed="false">
      <c r="A638" s="27" t="s">
        <v>438</v>
      </c>
      <c r="B638" s="0" t="b">
        <f aca="false">IF(IFERROR(DATE(2027,4,1)&gt;=DATE(2026,10,1)=FALSE(),FALSE()),FALSE(),IF(IFERROR(DATE(2027,4,1)&lt;=DATE(2027,12,1)=FALSE(),FALSE()),FALSE(),IF(IFERROR('Model inputs'!B637=FALSE(),FALSE()),FALSE(),IF('Model inputs'!B637="","",AND(DATE(2027,4,1)&gt;=DATE(2026,10,1),DATE(2027,4,1)&lt;=DATE(2027,12,1),'Model inputs'!B637)))))</f>
        <v>0</v>
      </c>
    </row>
    <row r="639" customFormat="false" ht="18" hidden="false" customHeight="false" outlineLevel="0" collapsed="false">
      <c r="A639" s="27" t="s">
        <v>438</v>
      </c>
      <c r="B639" s="0" t="b">
        <f aca="false">IF(ISERROR('Gainsay economics · Gainsay dat'!I11&gt;0),'Gainsay economics · Gainsay dat'!I11&gt;0,IF('Gainsay economics · Gainsay dat'!I11="","",'Gainsay economics · Gainsay dat'!I11&gt;0))</f>
        <v>0</v>
      </c>
    </row>
    <row r="640" customFormat="false" ht="18" hidden="false" customHeight="false" outlineLevel="0" collapsed="false">
      <c r="A640" s="27" t="s">
        <v>438</v>
      </c>
      <c r="B640" s="0" t="b">
        <f aca="false">IF(IFERROR(DATE(2027,5,1)&gt;=DATE(2026,10,1)=FALSE(),FALSE()),FALSE(),IF(IFERROR(DATE(2027,5,1)&lt;=DATE(2027,12,1)=FALSE(),FALSE()),FALSE(),IF(IFERROR('Model inputs'!B639=FALSE(),FALSE()),FALSE(),IF('Model inputs'!B639="","",AND(DATE(2027,5,1)&gt;=DATE(2026,10,1),DATE(2027,5,1)&lt;=DATE(2027,12,1),'Model inputs'!B639)))))</f>
        <v>0</v>
      </c>
    </row>
    <row r="641" customFormat="false" ht="18" hidden="false" customHeight="false" outlineLevel="0" collapsed="false">
      <c r="A641" s="27" t="s">
        <v>438</v>
      </c>
      <c r="B641" s="0" t="b">
        <f aca="false">IF(ISERROR('Gainsay economics · Gainsay dat'!J11&gt;0),'Gainsay economics · Gainsay dat'!J11&gt;0,IF('Gainsay economics · Gainsay dat'!J11="","",'Gainsay economics · Gainsay dat'!J11&gt;0))</f>
        <v>0</v>
      </c>
    </row>
    <row r="642" customFormat="false" ht="18" hidden="false" customHeight="false" outlineLevel="0" collapsed="false">
      <c r="A642" s="27" t="s">
        <v>438</v>
      </c>
      <c r="B642" s="0" t="b">
        <f aca="false">IF(IFERROR(DATE(2027,6,1)&gt;=DATE(2026,10,1)=FALSE(),FALSE()),FALSE(),IF(IFERROR(DATE(2027,6,1)&lt;=DATE(2027,12,1)=FALSE(),FALSE()),FALSE(),IF(IFERROR('Model inputs'!B641=FALSE(),FALSE()),FALSE(),IF('Model inputs'!B641="","",AND(DATE(2027,6,1)&gt;=DATE(2026,10,1),DATE(2027,6,1)&lt;=DATE(2027,12,1),'Model inputs'!B641)))))</f>
        <v>0</v>
      </c>
    </row>
    <row r="643" customFormat="false" ht="18" hidden="false" customHeight="false" outlineLevel="0" collapsed="false">
      <c r="A643" s="27" t="s">
        <v>438</v>
      </c>
      <c r="B643" s="0" t="b">
        <f aca="false">IF(ISERROR('Gainsay economics · Gainsay dat'!K11&gt;0),'Gainsay economics · Gainsay dat'!K11&gt;0,IF('Gainsay economics · Gainsay dat'!K11="","",'Gainsay economics · Gainsay dat'!K11&gt;0))</f>
        <v>0</v>
      </c>
    </row>
    <row r="644" customFormat="false" ht="18" hidden="false" customHeight="false" outlineLevel="0" collapsed="false">
      <c r="A644" s="27" t="s">
        <v>438</v>
      </c>
      <c r="B644" s="0" t="b">
        <f aca="false">IF(IFERROR(DATE(2027,7,1)&gt;=DATE(2026,10,1)=FALSE(),FALSE()),FALSE(),IF(IFERROR(DATE(2027,7,1)&lt;=DATE(2027,12,1)=FALSE(),FALSE()),FALSE(),IF(IFERROR('Model inputs'!B643=FALSE(),FALSE()),FALSE(),IF('Model inputs'!B643="","",AND(DATE(2027,7,1)&gt;=DATE(2026,10,1),DATE(2027,7,1)&lt;=DATE(2027,12,1),'Model inputs'!B643)))))</f>
        <v>0</v>
      </c>
    </row>
    <row r="645" customFormat="false" ht="18" hidden="false" customHeight="false" outlineLevel="0" collapsed="false">
      <c r="A645" s="27" t="s">
        <v>438</v>
      </c>
      <c r="B645" s="0" t="b">
        <f aca="false">IF(ISERROR('Gainsay economics · Gainsay dat'!L11&gt;0),'Gainsay economics · Gainsay dat'!L11&gt;0,IF('Gainsay economics · Gainsay dat'!L11="","",'Gainsay economics · Gainsay dat'!L11&gt;0))</f>
        <v>0</v>
      </c>
    </row>
    <row r="646" customFormat="false" ht="18" hidden="false" customHeight="false" outlineLevel="0" collapsed="false">
      <c r="A646" s="27" t="s">
        <v>438</v>
      </c>
      <c r="B646" s="0" t="b">
        <f aca="false">IF(IFERROR(DATE(2027,8,1)&gt;=DATE(2026,10,1)=FALSE(),FALSE()),FALSE(),IF(IFERROR(DATE(2027,8,1)&lt;=DATE(2027,12,1)=FALSE(),FALSE()),FALSE(),IF(IFERROR('Model inputs'!B645=FALSE(),FALSE()),FALSE(),IF('Model inputs'!B645="","",AND(DATE(2027,8,1)&gt;=DATE(2026,10,1),DATE(2027,8,1)&lt;=DATE(2027,12,1),'Model inputs'!B645)))))</f>
        <v>0</v>
      </c>
    </row>
    <row r="647" customFormat="false" ht="18" hidden="false" customHeight="false" outlineLevel="0" collapsed="false">
      <c r="A647" s="27" t="s">
        <v>438</v>
      </c>
      <c r="B647" s="0" t="b">
        <f aca="false">IF(ISERROR('Gainsay economics · Gainsay dat'!M11&gt;0),'Gainsay economics · Gainsay dat'!M11&gt;0,IF('Gainsay economics · Gainsay dat'!M11="","",'Gainsay economics · Gainsay dat'!M11&gt;0))</f>
        <v>0</v>
      </c>
    </row>
    <row r="648" customFormat="false" ht="18" hidden="false" customHeight="false" outlineLevel="0" collapsed="false">
      <c r="A648" s="27" t="s">
        <v>438</v>
      </c>
      <c r="B648" s="0" t="b">
        <f aca="false">IF(IFERROR(DATE(2027,9,1)&gt;=DATE(2026,10,1)=FALSE(),FALSE()),FALSE(),IF(IFERROR(DATE(2027,9,1)&lt;=DATE(2027,12,1)=FALSE(),FALSE()),FALSE(),IF(IFERROR('Model inputs'!B647=FALSE(),FALSE()),FALSE(),IF('Model inputs'!B647="","",AND(DATE(2027,9,1)&gt;=DATE(2026,10,1),DATE(2027,9,1)&lt;=DATE(2027,12,1),'Model inputs'!B647)))))</f>
        <v>0</v>
      </c>
    </row>
    <row r="649" customFormat="false" ht="18" hidden="false" customHeight="false" outlineLevel="0" collapsed="false">
      <c r="A649" s="27" t="s">
        <v>438</v>
      </c>
      <c r="B649" s="0" t="b">
        <f aca="false">IF(ISERROR('Gainsay economics · Gainsay dat'!N11&gt;0),'Gainsay economics · Gainsay dat'!N11&gt;0,IF('Gainsay economics · Gainsay dat'!N11="","",'Gainsay economics · Gainsay dat'!N11&gt;0))</f>
        <v>0</v>
      </c>
    </row>
    <row r="650" customFormat="false" ht="18" hidden="false" customHeight="false" outlineLevel="0" collapsed="false">
      <c r="A650" s="27" t="s">
        <v>438</v>
      </c>
      <c r="B650" s="0" t="b">
        <f aca="false">IF(IFERROR(DATE(2027,10,1)&gt;=DATE(2026,10,1)=FALSE(),FALSE()),FALSE(),IF(IFERROR(DATE(2027,10,1)&lt;=DATE(2027,12,1)=FALSE(),FALSE()),FALSE(),IF(IFERROR('Model inputs'!B649=FALSE(),FALSE()),FALSE(),IF('Model inputs'!B649="","",AND(DATE(2027,10,1)&gt;=DATE(2026,10,1),DATE(2027,10,1)&lt;=DATE(2027,12,1),'Model inputs'!B649)))))</f>
        <v>0</v>
      </c>
    </row>
    <row r="651" customFormat="false" ht="18" hidden="false" customHeight="false" outlineLevel="0" collapsed="false">
      <c r="A651" s="27" t="s">
        <v>438</v>
      </c>
      <c r="B651" s="0" t="b">
        <f aca="false">IF(ISERROR('Gainsay economics · Gainsay dat'!O11&gt;0),'Gainsay economics · Gainsay dat'!O11&gt;0,IF('Gainsay economics · Gainsay dat'!O11="","",'Gainsay economics · Gainsay dat'!O11&gt;0))</f>
        <v>0</v>
      </c>
    </row>
    <row r="652" customFormat="false" ht="18" hidden="false" customHeight="false" outlineLevel="0" collapsed="false">
      <c r="A652" s="27" t="s">
        <v>438</v>
      </c>
      <c r="B652" s="0" t="b">
        <f aca="false">IF(IFERROR(DATE(2027,11,1)&gt;=DATE(2026,10,1)=FALSE(),FALSE()),FALSE(),IF(IFERROR(DATE(2027,11,1)&lt;=DATE(2027,12,1)=FALSE(),FALSE()),FALSE(),IF(IFERROR('Model inputs'!B651=FALSE(),FALSE()),FALSE(),IF('Model inputs'!B651="","",AND(DATE(2027,11,1)&gt;=DATE(2026,10,1),DATE(2027,11,1)&lt;=DATE(2027,12,1),'Model inputs'!B651)))))</f>
        <v>0</v>
      </c>
    </row>
    <row r="653" customFormat="false" ht="18" hidden="false" customHeight="false" outlineLevel="0" collapsed="false">
      <c r="A653" s="27" t="s">
        <v>438</v>
      </c>
      <c r="B653" s="0" t="b">
        <f aca="false">IF(ISERROR('Gainsay economics · Gainsay dat'!P11&gt;0),'Gainsay economics · Gainsay dat'!P11&gt;0,IF('Gainsay economics · Gainsay dat'!P11="","",'Gainsay economics · Gainsay dat'!P11&gt;0))</f>
        <v>0</v>
      </c>
    </row>
    <row r="654" customFormat="false" ht="18" hidden="false" customHeight="false" outlineLevel="0" collapsed="false">
      <c r="A654" s="27" t="s">
        <v>438</v>
      </c>
      <c r="B654" s="0" t="b">
        <f aca="false">IF(IFERROR(DATE(2027,12,1)&gt;=DATE(2026,10,1)=FALSE(),FALSE()),FALSE(),IF(IFERROR(DATE(2027,12,1)&lt;=DATE(2027,12,1)=FALSE(),FALSE()),FALSE(),IF(IFERROR('Model inputs'!B653=FALSE(),FALSE()),FALSE(),IF('Model inputs'!B653="","",AND(DATE(2027,12,1)&gt;=DATE(2026,10,1),DATE(2027,12,1)&lt;=DATE(2027,12,1),'Model inputs'!B653)))))</f>
        <v>0</v>
      </c>
    </row>
    <row r="655" customFormat="false" ht="18" hidden="false" customHeight="false" outlineLevel="0" collapsed="false">
      <c r="A655" s="27" t="s">
        <v>438</v>
      </c>
      <c r="B655" s="0" t="b">
        <f aca="false">IF(IFERROR(DATE(2026,1,1)&gt;=DATE(2026,10,1)=FALSE(),FALSE()),FALSE(),IF(IFERROR(DATE(2026,1,1)&lt;=DATE(2027,12,1)=FALSE(),FALSE()),FALSE(),IF(IFERROR(IF(ISERROR('Model inputs'!B46&gt;0),'Model inputs'!B46&gt;0,IF('Model inputs'!B46="","",'Model inputs'!B46&gt;0))=FALSE(),FALSE()),FALSE(),IF(IF(ISERROR('Model inputs'!B46&gt;0),'Model inputs'!B46&gt;0,IF('Model inputs'!B46="","",'Model inputs'!B46&gt;0))="","",AND(DATE(2026,1,1)&gt;=DATE(2026,10,1),DATE(2026,1,1)&lt;=DATE(2027,12,1),IF(ISERROR('Model inputs'!B46&gt;0),'Model inputs'!B46&gt;0,IF('Model inputs'!B46="","",'Model inputs'!B46&gt;0)))))))</f>
        <v>0</v>
      </c>
    </row>
    <row r="656" customFormat="false" ht="18" hidden="false" customHeight="false" outlineLevel="0" collapsed="false">
      <c r="A656" s="27" t="s">
        <v>438</v>
      </c>
      <c r="B656" s="0" t="b">
        <f aca="false">IF(IFERROR(DATE(2026,2,1)&gt;=DATE(2026,10,1)=FALSE(),FALSE()),FALSE(),IF(IFERROR(DATE(2026,2,1)&lt;=DATE(2027,12,1)=FALSE(),FALSE()),FALSE(),IF(IFERROR(IF(ISERROR('Model inputs'!C46&gt;0),'Model inputs'!C46&gt;0,IF('Model inputs'!C46="","",'Model inputs'!C46&gt;0))=FALSE(),FALSE()),FALSE(),IF(IF(ISERROR('Model inputs'!C46&gt;0),'Model inputs'!C46&gt;0,IF('Model inputs'!C46="","",'Model inputs'!C46&gt;0))="","",AND(DATE(2026,2,1)&gt;=DATE(2026,10,1),DATE(2026,2,1)&lt;=DATE(2027,12,1),IF(ISERROR('Model inputs'!C46&gt;0),'Model inputs'!C46&gt;0,IF('Model inputs'!C46="","",'Model inputs'!C46&gt;0)))))))</f>
        <v>0</v>
      </c>
    </row>
    <row r="657" customFormat="false" ht="18" hidden="false" customHeight="false" outlineLevel="0" collapsed="false">
      <c r="A657" s="27" t="s">
        <v>438</v>
      </c>
      <c r="B657" s="0" t="b">
        <f aca="false">IF(IFERROR(DATE(2026,3,1)&gt;=DATE(2026,10,1)=FALSE(),FALSE()),FALSE(),IF(IFERROR(DATE(2026,3,1)&lt;=DATE(2027,12,1)=FALSE(),FALSE()),FALSE(),IF(IFERROR(IF(ISERROR('Model inputs'!D46&gt;0),'Model inputs'!D46&gt;0,IF('Model inputs'!D46="","",'Model inputs'!D46&gt;0))=FALSE(),FALSE()),FALSE(),IF(IF(ISERROR('Model inputs'!D46&gt;0),'Model inputs'!D46&gt;0,IF('Model inputs'!D46="","",'Model inputs'!D46&gt;0))="","",AND(DATE(2026,3,1)&gt;=DATE(2026,10,1),DATE(2026,3,1)&lt;=DATE(2027,12,1),IF(ISERROR('Model inputs'!D46&gt;0),'Model inputs'!D46&gt;0,IF('Model inputs'!D46="","",'Model inputs'!D46&gt;0)))))))</f>
        <v>0</v>
      </c>
    </row>
    <row r="658" customFormat="false" ht="18" hidden="false" customHeight="false" outlineLevel="0" collapsed="false">
      <c r="A658" s="27" t="s">
        <v>438</v>
      </c>
      <c r="B658" s="0" t="b">
        <f aca="false">IF(IFERROR(DATE(2026,4,1)&gt;=DATE(2026,10,1)=FALSE(),FALSE()),FALSE(),IF(IFERROR(DATE(2026,4,1)&lt;=DATE(2027,12,1)=FALSE(),FALSE()),FALSE(),IF(IFERROR(IF(ISERROR('Model inputs'!E46&gt;0),'Model inputs'!E46&gt;0,IF('Model inputs'!E46="","",'Model inputs'!E46&gt;0))=FALSE(),FALSE()),FALSE(),IF(IF(ISERROR('Model inputs'!E46&gt;0),'Model inputs'!E46&gt;0,IF('Model inputs'!E46="","",'Model inputs'!E46&gt;0))="","",AND(DATE(2026,4,1)&gt;=DATE(2026,10,1),DATE(2026,4,1)&lt;=DATE(2027,12,1),IF(ISERROR('Model inputs'!E46&gt;0),'Model inputs'!E46&gt;0,IF('Model inputs'!E46="","",'Model inputs'!E46&gt;0)))))))</f>
        <v>0</v>
      </c>
    </row>
    <row r="659" customFormat="false" ht="18" hidden="false" customHeight="false" outlineLevel="0" collapsed="false">
      <c r="A659" s="27" t="s">
        <v>438</v>
      </c>
      <c r="B659" s="0" t="b">
        <f aca="false">IF(IFERROR(DATE(2026,5,1)&gt;=DATE(2026,10,1)=FALSE(),FALSE()),FALSE(),IF(IFERROR(DATE(2026,5,1)&lt;=DATE(2027,12,1)=FALSE(),FALSE()),FALSE(),IF(IFERROR(IF(ISERROR('Model inputs'!F46&gt;0),'Model inputs'!F46&gt;0,IF('Model inputs'!F46="","",'Model inputs'!F46&gt;0))=FALSE(),FALSE()),FALSE(),IF(IF(ISERROR('Model inputs'!F46&gt;0),'Model inputs'!F46&gt;0,IF('Model inputs'!F46="","",'Model inputs'!F46&gt;0))="","",AND(DATE(2026,5,1)&gt;=DATE(2026,10,1),DATE(2026,5,1)&lt;=DATE(2027,12,1),IF(ISERROR('Model inputs'!F46&gt;0),'Model inputs'!F46&gt;0,IF('Model inputs'!F46="","",'Model inputs'!F46&gt;0)))))))</f>
        <v>0</v>
      </c>
    </row>
    <row r="660" customFormat="false" ht="18" hidden="false" customHeight="false" outlineLevel="0" collapsed="false">
      <c r="A660" s="27" t="s">
        <v>438</v>
      </c>
      <c r="B660" s="0" t="b">
        <f aca="false">IF(IFERROR(DATE(2026,6,1)&gt;=DATE(2026,10,1)=FALSE(),FALSE()),FALSE(),IF(IFERROR(DATE(2026,6,1)&lt;=DATE(2027,12,1)=FALSE(),FALSE()),FALSE(),IF(IFERROR(IF(ISERROR('Model inputs'!G46&gt;0),'Model inputs'!G46&gt;0,IF('Model inputs'!G46="","",'Model inputs'!G46&gt;0))=FALSE(),FALSE()),FALSE(),IF(IF(ISERROR('Model inputs'!G46&gt;0),'Model inputs'!G46&gt;0,IF('Model inputs'!G46="","",'Model inputs'!G46&gt;0))="","",AND(DATE(2026,6,1)&gt;=DATE(2026,10,1),DATE(2026,6,1)&lt;=DATE(2027,12,1),IF(ISERROR('Model inputs'!G46&gt;0),'Model inputs'!G46&gt;0,IF('Model inputs'!G46="","",'Model inputs'!G46&gt;0)))))))</f>
        <v>0</v>
      </c>
    </row>
    <row r="661" customFormat="false" ht="18" hidden="false" customHeight="false" outlineLevel="0" collapsed="false">
      <c r="A661" s="27" t="s">
        <v>438</v>
      </c>
      <c r="B661" s="0" t="b">
        <f aca="false">IF(IFERROR(DATE(2026,7,1)&gt;=DATE(2026,10,1)=FALSE(),FALSE()),FALSE(),IF(IFERROR(DATE(2026,7,1)&lt;=DATE(2027,12,1)=FALSE(),FALSE()),FALSE(),IF(IFERROR(IF(ISERROR('Model inputs'!H46&gt;0),'Model inputs'!H46&gt;0,IF('Model inputs'!H46="","",'Model inputs'!H46&gt;0))=FALSE(),FALSE()),FALSE(),IF(IF(ISERROR('Model inputs'!H46&gt;0),'Model inputs'!H46&gt;0,IF('Model inputs'!H46="","",'Model inputs'!H46&gt;0))="","",AND(DATE(2026,7,1)&gt;=DATE(2026,10,1),DATE(2026,7,1)&lt;=DATE(2027,12,1),IF(ISERROR('Model inputs'!H46&gt;0),'Model inputs'!H46&gt;0,IF('Model inputs'!H46="","",'Model inputs'!H46&gt;0)))))))</f>
        <v>0</v>
      </c>
    </row>
    <row r="662" customFormat="false" ht="18" hidden="false" customHeight="false" outlineLevel="0" collapsed="false">
      <c r="A662" s="27" t="s">
        <v>438</v>
      </c>
      <c r="B662" s="0" t="b">
        <f aca="false">IF(IFERROR(DATE(2026,8,1)&gt;=DATE(2026,10,1)=FALSE(),FALSE()),FALSE(),IF(IFERROR(DATE(2026,8,1)&lt;=DATE(2027,12,1)=FALSE(),FALSE()),FALSE(),IF(IFERROR(IF(ISERROR('Model inputs'!I46&gt;0),'Model inputs'!I46&gt;0,IF('Model inputs'!I46="","",'Model inputs'!I46&gt;0))=FALSE(),FALSE()),FALSE(),IF(IF(ISERROR('Model inputs'!I46&gt;0),'Model inputs'!I46&gt;0,IF('Model inputs'!I46="","",'Model inputs'!I46&gt;0))="","",AND(DATE(2026,8,1)&gt;=DATE(2026,10,1),DATE(2026,8,1)&lt;=DATE(2027,12,1),IF(ISERROR('Model inputs'!I46&gt;0),'Model inputs'!I46&gt;0,IF('Model inputs'!I46="","",'Model inputs'!I46&gt;0)))))))</f>
        <v>0</v>
      </c>
    </row>
    <row r="663" customFormat="false" ht="18" hidden="false" customHeight="false" outlineLevel="0" collapsed="false">
      <c r="A663" s="27" t="s">
        <v>438</v>
      </c>
      <c r="B663" s="0" t="b">
        <f aca="false">IF(IFERROR(DATE(2026,9,1)&gt;=DATE(2026,10,1)=FALSE(),FALSE()),FALSE(),IF(IFERROR(DATE(2026,9,1)&lt;=DATE(2027,12,1)=FALSE(),FALSE()),FALSE(),IF(IFERROR(IF(ISERROR('Model inputs'!J46&gt;0),'Model inputs'!J46&gt;0,IF('Model inputs'!J46="","",'Model inputs'!J46&gt;0))=FALSE(),FALSE()),FALSE(),IF(IF(ISERROR('Model inputs'!J46&gt;0),'Model inputs'!J46&gt;0,IF('Model inputs'!J46="","",'Model inputs'!J46&gt;0))="","",AND(DATE(2026,9,1)&gt;=DATE(2026,10,1),DATE(2026,9,1)&lt;=DATE(2027,12,1),IF(ISERROR('Model inputs'!J46&gt;0),'Model inputs'!J46&gt;0,IF('Model inputs'!J46="","",'Model inputs'!J46&gt;0)))))))</f>
        <v>0</v>
      </c>
    </row>
    <row r="664" customFormat="false" ht="18" hidden="false" customHeight="false" outlineLevel="0" collapsed="false">
      <c r="A664" s="27" t="s">
        <v>438</v>
      </c>
      <c r="B664" s="0" t="str">
        <f aca="false">IF(IF('Model inputs'!B626="",FALSE(),'Model inputs'!B626),'Gainsay economics · Gainsay ope'!B42,"")</f>
        <v/>
      </c>
    </row>
    <row r="665" customFormat="false" ht="18" hidden="false" customHeight="false" outlineLevel="0" collapsed="false">
      <c r="A665" s="27" t="s">
        <v>438</v>
      </c>
      <c r="B665" s="0" t="str">
        <f aca="false">IF(IF('Model inputs'!B628="",FALSE(),'Model inputs'!B628),'Gainsay economics · Gainsay ope'!C42,"")</f>
        <v/>
      </c>
    </row>
    <row r="666" customFormat="false" ht="18" hidden="false" customHeight="false" outlineLevel="0" collapsed="false">
      <c r="A666" s="27" t="s">
        <v>438</v>
      </c>
      <c r="B666" s="0" t="str">
        <f aca="false">IF(IF('Model inputs'!B630="",FALSE(),'Model inputs'!B630),'Gainsay economics · Gainsay ope'!D42,"")</f>
        <v/>
      </c>
    </row>
    <row r="667" customFormat="false" ht="18" hidden="false" customHeight="false" outlineLevel="0" collapsed="false">
      <c r="A667" s="27" t="s">
        <v>438</v>
      </c>
      <c r="B667" s="0" t="str">
        <f aca="false">IF(IF('Model inputs'!B632="",FALSE(),'Model inputs'!B632),'Gainsay economics · Gainsay ope'!E42,"")</f>
        <v/>
      </c>
    </row>
    <row r="668" customFormat="false" ht="18" hidden="false" customHeight="false" outlineLevel="0" collapsed="false">
      <c r="A668" s="27" t="s">
        <v>438</v>
      </c>
      <c r="B668" s="0" t="str">
        <f aca="false">IF(IF('Model inputs'!B634="",FALSE(),'Model inputs'!B634),'Gainsay economics · Gainsay ope'!F42,"")</f>
        <v/>
      </c>
    </row>
    <row r="669" customFormat="false" ht="18" hidden="false" customHeight="false" outlineLevel="0" collapsed="false">
      <c r="A669" s="27" t="s">
        <v>438</v>
      </c>
      <c r="B669" s="0" t="str">
        <f aca="false">IF(IF('Model inputs'!B636="",FALSE(),'Model inputs'!B636),'Gainsay economics · Gainsay ope'!G42,"")</f>
        <v/>
      </c>
    </row>
    <row r="670" customFormat="false" ht="18" hidden="false" customHeight="false" outlineLevel="0" collapsed="false">
      <c r="A670" s="27" t="s">
        <v>438</v>
      </c>
      <c r="B670" s="0" t="str">
        <f aca="false">IF(IF('Model inputs'!B638="",FALSE(),'Model inputs'!B638),'Gainsay economics · Gainsay ope'!H42,"")</f>
        <v/>
      </c>
    </row>
    <row r="671" customFormat="false" ht="18" hidden="false" customHeight="false" outlineLevel="0" collapsed="false">
      <c r="A671" s="27" t="s">
        <v>438</v>
      </c>
      <c r="B671" s="0" t="str">
        <f aca="false">IF(IF('Model inputs'!B640="",FALSE(),'Model inputs'!B640),'Gainsay economics · Gainsay ope'!I42,"")</f>
        <v/>
      </c>
    </row>
    <row r="672" customFormat="false" ht="18" hidden="false" customHeight="false" outlineLevel="0" collapsed="false">
      <c r="A672" s="27" t="s">
        <v>438</v>
      </c>
      <c r="B672" s="0" t="str">
        <f aca="false">IF(IF('Model inputs'!B642="",FALSE(),'Model inputs'!B642),'Gainsay economics · Gainsay ope'!J42,"")</f>
        <v/>
      </c>
    </row>
    <row r="673" customFormat="false" ht="18" hidden="false" customHeight="false" outlineLevel="0" collapsed="false">
      <c r="A673" s="27" t="s">
        <v>438</v>
      </c>
      <c r="B673" s="0" t="str">
        <f aca="false">IF(IF('Model inputs'!B644="",FALSE(),'Model inputs'!B644),'Gainsay economics · Gainsay ope'!K42,"")</f>
        <v/>
      </c>
    </row>
    <row r="674" customFormat="false" ht="18" hidden="false" customHeight="false" outlineLevel="0" collapsed="false">
      <c r="A674" s="27" t="s">
        <v>438</v>
      </c>
      <c r="B674" s="0" t="str">
        <f aca="false">IF(IF('Model inputs'!B646="",FALSE(),'Model inputs'!B646),'Gainsay economics · Gainsay ope'!L42,"")</f>
        <v/>
      </c>
    </row>
    <row r="675" customFormat="false" ht="18" hidden="false" customHeight="false" outlineLevel="0" collapsed="false">
      <c r="A675" s="27" t="s">
        <v>438</v>
      </c>
      <c r="B675" s="0" t="str">
        <f aca="false">IF(IF('Model inputs'!B648="",FALSE(),'Model inputs'!B648),'Gainsay economics · Gainsay ope'!M42,"")</f>
        <v/>
      </c>
    </row>
    <row r="676" customFormat="false" ht="18" hidden="false" customHeight="false" outlineLevel="0" collapsed="false">
      <c r="A676" s="27" t="s">
        <v>438</v>
      </c>
      <c r="B676" s="0" t="str">
        <f aca="false">IF(IF('Model inputs'!B650="",FALSE(),'Model inputs'!B650),'Gainsay economics · Gainsay ope'!N42,"")</f>
        <v/>
      </c>
    </row>
    <row r="677" customFormat="false" ht="18" hidden="false" customHeight="false" outlineLevel="0" collapsed="false">
      <c r="A677" s="27" t="s">
        <v>438</v>
      </c>
      <c r="B677" s="0" t="str">
        <f aca="false">IF(IF('Model inputs'!B652="",FALSE(),'Model inputs'!B652),'Gainsay economics · Gainsay ope'!O42,"")</f>
        <v/>
      </c>
    </row>
    <row r="678" customFormat="false" ht="18" hidden="false" customHeight="false" outlineLevel="0" collapsed="false">
      <c r="A678" s="27" t="s">
        <v>438</v>
      </c>
      <c r="B678" s="0" t="str">
        <f aca="false">IF(IF('Model inputs'!B654="",FALSE(),'Model inputs'!B654),'Gainsay economics · Gainsay ope'!P42,"")</f>
        <v/>
      </c>
    </row>
    <row r="679" customFormat="false" ht="18" hidden="false" customHeight="false" outlineLevel="0" collapsed="false">
      <c r="A679" s="27" t="s">
        <v>438</v>
      </c>
      <c r="B679" s="0" t="str">
        <f aca="false">IF(IF('Model inputs'!B655="",FALSE(),'Model inputs'!B655),'Model inputs'!B97,"")</f>
        <v/>
      </c>
    </row>
    <row r="680" customFormat="false" ht="18" hidden="false" customHeight="false" outlineLevel="0" collapsed="false">
      <c r="A680" s="27" t="s">
        <v>438</v>
      </c>
      <c r="B680" s="0" t="str">
        <f aca="false">IF(IF('Model inputs'!B656="",FALSE(),'Model inputs'!B656),'Model inputs'!C97,"")</f>
        <v/>
      </c>
    </row>
    <row r="681" customFormat="false" ht="18" hidden="false" customHeight="false" outlineLevel="0" collapsed="false">
      <c r="A681" s="27" t="s">
        <v>438</v>
      </c>
      <c r="B681" s="0" t="str">
        <f aca="false">IF(IF('Model inputs'!B657="",FALSE(),'Model inputs'!B657),'Model inputs'!D97,"")</f>
        <v/>
      </c>
    </row>
    <row r="682" customFormat="false" ht="18" hidden="false" customHeight="false" outlineLevel="0" collapsed="false">
      <c r="A682" s="27" t="s">
        <v>438</v>
      </c>
      <c r="B682" s="0" t="str">
        <f aca="false">IF(IF('Model inputs'!B658="",FALSE(),'Model inputs'!B658),'Model inputs'!E97,"")</f>
        <v/>
      </c>
    </row>
    <row r="683" customFormat="false" ht="18" hidden="false" customHeight="false" outlineLevel="0" collapsed="false">
      <c r="A683" s="27" t="s">
        <v>438</v>
      </c>
      <c r="B683" s="0" t="str">
        <f aca="false">IF(IF('Model inputs'!B659="",FALSE(),'Model inputs'!B659),'Model inputs'!F97,"")</f>
        <v/>
      </c>
    </row>
    <row r="684" customFormat="false" ht="18" hidden="false" customHeight="false" outlineLevel="0" collapsed="false">
      <c r="A684" s="27" t="s">
        <v>438</v>
      </c>
      <c r="B684" s="0" t="str">
        <f aca="false">IF(IF('Model inputs'!B660="",FALSE(),'Model inputs'!B660),'Model inputs'!G97,"")</f>
        <v/>
      </c>
    </row>
    <row r="685" customFormat="false" ht="18" hidden="false" customHeight="false" outlineLevel="0" collapsed="false">
      <c r="A685" s="27" t="s">
        <v>438</v>
      </c>
      <c r="B685" s="0" t="str">
        <f aca="false">IF(IF('Model inputs'!B661="",FALSE(),'Model inputs'!B661),'Model inputs'!H97,"")</f>
        <v/>
      </c>
    </row>
    <row r="686" customFormat="false" ht="18" hidden="false" customHeight="false" outlineLevel="0" collapsed="false">
      <c r="A686" s="27" t="s">
        <v>438</v>
      </c>
      <c r="B686" s="0" t="str">
        <f aca="false">IF(IF('Model inputs'!B662="",FALSE(),'Model inputs'!B662),'Model inputs'!I97,"")</f>
        <v/>
      </c>
    </row>
    <row r="687" customFormat="false" ht="18" hidden="false" customHeight="false" outlineLevel="0" collapsed="false">
      <c r="A687" s="27" t="s">
        <v>438</v>
      </c>
      <c r="B687" s="0" t="str">
        <f aca="false">IF(IF('Model inputs'!B663="",FALSE(),'Model inputs'!B663),'Model inputs'!J97,"")</f>
        <v/>
      </c>
    </row>
    <row r="688" customFormat="false" ht="18" hidden="false" customHeight="false" outlineLevel="0" collapsed="false">
      <c r="A688" s="27" t="s">
        <v>438</v>
      </c>
      <c r="B688" s="0" t="str">
        <f aca="false">(IF(AND('Model inputs'!B664="",'Model inputs'!B665="",'Model inputs'!B666="",'Model inputs'!B667="",'Model inputs'!B668="",'Model inputs'!B669="",'Model inputs'!B670="",'Model inputs'!B671="",'Model inputs'!B672="",'Model inputs'!B673="",'Model inputs'!B674="",'Model inputs'!B675="",'Model inputs'!B676="",'Model inputs'!B677="",'Model inputs'!B678="",'Model inputs'!B679="",'Model inputs'!B680="",'Model inputs'!B681="",'Model inputs'!B682="",'Model inputs'!B683="",'Model inputs'!B684="",'Model inputs'!B685="",'Model inputs'!B686="",'Model inputs'!B687=""),"",MIN('Model inputs'!B664,'Model inputs'!B665,'Model inputs'!B666,'Model inputs'!B667,'Model inputs'!B668,'Model inputs'!B669,'Model inputs'!B670,'Model inputs'!B671,'Model inputs'!B672,'Model inputs'!B673,'Model inputs'!B674,'Model inputs'!B675,'Model inputs'!B676,'Model inputs'!B677,'Model inputs'!B678,'Model inputs'!B679,'Model inputs'!B680,'Model inputs'!B681,'Model inputs'!B682,'Model inputs'!B683,'Model inputs'!B684,'Model inputs'!B685,'Model inputs'!B686,'Model inputs'!B687)))</f>
        <v/>
      </c>
    </row>
    <row r="689" customFormat="false" ht="18" hidden="false" customHeight="false" outlineLevel="0" collapsed="false">
      <c r="A689" s="27" t="s">
        <v>438</v>
      </c>
      <c r="B689" s="0" t="b">
        <f aca="false">IF(ISERROR('Gainsay economics · Gainsay dat'!B15=MIN('Gainsay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dat'!B15=MIN('Gainsay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dat'!B15="",MIN('Gainsay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dat'!B15=MIN('Gainsay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690" customFormat="false" ht="18" hidden="false" customHeight="false" outlineLevel="0" collapsed="false">
      <c r="A690" s="27" t="s">
        <v>438</v>
      </c>
      <c r="B690" s="0" t="b">
        <f aca="false">IF(IFERROR(DATE(2026,10,1)&gt;=DATE(2026,10,1)=FALSE(),FALSE()),FALSE(),IF(IFERROR(DATE(2026,10,1)&lt;=DATE(2027,12,1)=FALSE(),FALSE()),FALSE(),IF(IFERROR('Model inputs'!B689=FALSE(),FALSE()),FALSE(),IF('Model inputs'!B689="","",AND(DATE(2026,10,1)&gt;=DATE(2026,10,1),DATE(2026,10,1)&lt;=DATE(2027,12,1),'Model inputs'!B689)))))</f>
        <v>0</v>
      </c>
    </row>
    <row r="691" customFormat="false" ht="18" hidden="false" customHeight="false" outlineLevel="0" collapsed="false">
      <c r="A691" s="27" t="s">
        <v>438</v>
      </c>
      <c r="B691" s="0" t="b">
        <f aca="false">IF(ISERROR('Gainsay economics · Gainsay dat'!C15=MIN('Gainsay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dat'!C15=MIN('Gainsay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dat'!C15="",MIN('Gainsay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dat'!C15=MIN('Gainsay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692" customFormat="false" ht="18" hidden="false" customHeight="false" outlineLevel="0" collapsed="false">
      <c r="A692" s="27" t="s">
        <v>438</v>
      </c>
      <c r="B692" s="0" t="b">
        <f aca="false">IF(IFERROR(DATE(2026,11,1)&gt;=DATE(2026,10,1)=FALSE(),FALSE()),FALSE(),IF(IFERROR(DATE(2026,11,1)&lt;=DATE(2027,12,1)=FALSE(),FALSE()),FALSE(),IF(IFERROR('Model inputs'!B691=FALSE(),FALSE()),FALSE(),IF('Model inputs'!B691="","",AND(DATE(2026,11,1)&gt;=DATE(2026,10,1),DATE(2026,11,1)&lt;=DATE(2027,12,1),'Model inputs'!B691)))))</f>
        <v>0</v>
      </c>
    </row>
    <row r="693" customFormat="false" ht="18" hidden="false" customHeight="false" outlineLevel="0" collapsed="false">
      <c r="A693" s="27" t="s">
        <v>438</v>
      </c>
      <c r="B693" s="0" t="b">
        <f aca="false">IF(ISERROR('Gainsay economics · Gainsay dat'!D15=MIN('Gainsay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dat'!D15=MIN('Gainsay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dat'!D15="",MIN('Gainsay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dat'!D15=MIN('Gainsay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694" customFormat="false" ht="18" hidden="false" customHeight="false" outlineLevel="0" collapsed="false">
      <c r="A694" s="27" t="s">
        <v>438</v>
      </c>
      <c r="B694" s="0" t="b">
        <f aca="false">IF(IFERROR(DATE(2026,12,1)&gt;=DATE(2026,10,1)=FALSE(),FALSE()),FALSE(),IF(IFERROR(DATE(2026,12,1)&lt;=DATE(2027,12,1)=FALSE(),FALSE()),FALSE(),IF(IFERROR('Model inputs'!B693=FALSE(),FALSE()),FALSE(),IF('Model inputs'!B693="","",AND(DATE(2026,12,1)&gt;=DATE(2026,10,1),DATE(2026,12,1)&lt;=DATE(2027,12,1),'Model inputs'!B693)))))</f>
        <v>0</v>
      </c>
    </row>
    <row r="695" customFormat="false" ht="18" hidden="false" customHeight="false" outlineLevel="0" collapsed="false">
      <c r="A695" s="27" t="s">
        <v>438</v>
      </c>
      <c r="B695" s="0" t="b">
        <f aca="false">IF(ISERROR('Gainsay economics · Gainsay dat'!E15=MIN('Gainsay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dat'!E15=MIN('Gainsay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dat'!E15="",MIN('Gainsay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dat'!E15=MIN('Gainsay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696" customFormat="false" ht="18" hidden="false" customHeight="false" outlineLevel="0" collapsed="false">
      <c r="A696" s="27" t="s">
        <v>438</v>
      </c>
      <c r="B696" s="0" t="b">
        <f aca="false">IF(IFERROR(DATE(2027,1,1)&gt;=DATE(2026,10,1)=FALSE(),FALSE()),FALSE(),IF(IFERROR(DATE(2027,1,1)&lt;=DATE(2027,12,1)=FALSE(),FALSE()),FALSE(),IF(IFERROR('Model inputs'!B695=FALSE(),FALSE()),FALSE(),IF('Model inputs'!B695="","",AND(DATE(2027,1,1)&gt;=DATE(2026,10,1),DATE(2027,1,1)&lt;=DATE(2027,12,1),'Model inputs'!B695)))))</f>
        <v>0</v>
      </c>
    </row>
    <row r="697" customFormat="false" ht="18" hidden="false" customHeight="false" outlineLevel="0" collapsed="false">
      <c r="A697" s="27" t="s">
        <v>438</v>
      </c>
      <c r="B697" s="0" t="b">
        <f aca="false">IF(ISERROR('Gainsay economics · Gainsay dat'!F15=MIN('Gainsay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dat'!F15=MIN('Gainsay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dat'!F15="",MIN('Gainsay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dat'!F15=MIN('Gainsay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698" customFormat="false" ht="18" hidden="false" customHeight="false" outlineLevel="0" collapsed="false">
      <c r="A698" s="27" t="s">
        <v>438</v>
      </c>
      <c r="B698" s="0" t="b">
        <f aca="false">IF(IFERROR(DATE(2027,2,1)&gt;=DATE(2026,10,1)=FALSE(),FALSE()),FALSE(),IF(IFERROR(DATE(2027,2,1)&lt;=DATE(2027,12,1)=FALSE(),FALSE()),FALSE(),IF(IFERROR('Model inputs'!B697=FALSE(),FALSE()),FALSE(),IF('Model inputs'!B697="","",AND(DATE(2027,2,1)&gt;=DATE(2026,10,1),DATE(2027,2,1)&lt;=DATE(2027,12,1),'Model inputs'!B697)))))</f>
        <v>0</v>
      </c>
    </row>
    <row r="699" customFormat="false" ht="18" hidden="false" customHeight="false" outlineLevel="0" collapsed="false">
      <c r="A699" s="27" t="s">
        <v>438</v>
      </c>
      <c r="B699" s="0" t="b">
        <f aca="false">IF(ISERROR('Gainsay economics · Gainsay dat'!G15=MIN('Gainsay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dat'!G15=MIN('Gainsay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dat'!G15="",MIN('Gainsay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dat'!G15=MIN('Gainsay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00" customFormat="false" ht="18" hidden="false" customHeight="false" outlineLevel="0" collapsed="false">
      <c r="A700" s="27" t="s">
        <v>438</v>
      </c>
      <c r="B700" s="0" t="b">
        <f aca="false">IF(IFERROR(DATE(2027,3,1)&gt;=DATE(2026,10,1)=FALSE(),FALSE()),FALSE(),IF(IFERROR(DATE(2027,3,1)&lt;=DATE(2027,12,1)=FALSE(),FALSE()),FALSE(),IF(IFERROR('Model inputs'!B699=FALSE(),FALSE()),FALSE(),IF('Model inputs'!B699="","",AND(DATE(2027,3,1)&gt;=DATE(2026,10,1),DATE(2027,3,1)&lt;=DATE(2027,12,1),'Model inputs'!B699)))))</f>
        <v>0</v>
      </c>
    </row>
    <row r="701" customFormat="false" ht="18" hidden="false" customHeight="false" outlineLevel="0" collapsed="false">
      <c r="A701" s="27" t="s">
        <v>438</v>
      </c>
      <c r="B701" s="0" t="b">
        <f aca="false">IF(ISERROR('Gainsay economics · Gainsay dat'!H15=MIN('Gainsay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dat'!H15=MIN('Gainsay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dat'!H15="",MIN('Gainsay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dat'!H15=MIN('Gainsay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02" customFormat="false" ht="18" hidden="false" customHeight="false" outlineLevel="0" collapsed="false">
      <c r="A702" s="27" t="s">
        <v>438</v>
      </c>
      <c r="B702" s="0" t="b">
        <f aca="false">IF(IFERROR(DATE(2027,4,1)&gt;=DATE(2026,10,1)=FALSE(),FALSE()),FALSE(),IF(IFERROR(DATE(2027,4,1)&lt;=DATE(2027,12,1)=FALSE(),FALSE()),FALSE(),IF(IFERROR('Model inputs'!B701=FALSE(),FALSE()),FALSE(),IF('Model inputs'!B701="","",AND(DATE(2027,4,1)&gt;=DATE(2026,10,1),DATE(2027,4,1)&lt;=DATE(2027,12,1),'Model inputs'!B701)))))</f>
        <v>0</v>
      </c>
    </row>
    <row r="703" customFormat="false" ht="18" hidden="false" customHeight="false" outlineLevel="0" collapsed="false">
      <c r="A703" s="27" t="s">
        <v>438</v>
      </c>
      <c r="B703" s="0" t="b">
        <f aca="false">IF(ISERROR('Gainsay economics · Gainsay dat'!I15=MIN('Gainsay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dat'!I15=MIN('Gainsay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dat'!I15="",MIN('Gainsay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dat'!I15=MIN('Gainsay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04" customFormat="false" ht="18" hidden="false" customHeight="false" outlineLevel="0" collapsed="false">
      <c r="A704" s="27" t="s">
        <v>438</v>
      </c>
      <c r="B704" s="0" t="b">
        <f aca="false">IF(IFERROR(DATE(2027,5,1)&gt;=DATE(2026,10,1)=FALSE(),FALSE()),FALSE(),IF(IFERROR(DATE(2027,5,1)&lt;=DATE(2027,12,1)=FALSE(),FALSE()),FALSE(),IF(IFERROR('Model inputs'!B703=FALSE(),FALSE()),FALSE(),IF('Model inputs'!B703="","",AND(DATE(2027,5,1)&gt;=DATE(2026,10,1),DATE(2027,5,1)&lt;=DATE(2027,12,1),'Model inputs'!B703)))))</f>
        <v>0</v>
      </c>
    </row>
    <row r="705" customFormat="false" ht="18" hidden="false" customHeight="false" outlineLevel="0" collapsed="false">
      <c r="A705" s="27" t="s">
        <v>438</v>
      </c>
      <c r="B705" s="0" t="b">
        <f aca="false">IF(ISERROR('Gainsay economics · Gainsay dat'!J15=MIN('Gainsay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dat'!J15=MIN('Gainsay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dat'!J15="",MIN('Gainsay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dat'!J15=MIN('Gainsay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06" customFormat="false" ht="18" hidden="false" customHeight="false" outlineLevel="0" collapsed="false">
      <c r="A706" s="27" t="s">
        <v>438</v>
      </c>
      <c r="B706" s="0" t="b">
        <f aca="false">IF(IFERROR(DATE(2027,6,1)&gt;=DATE(2026,10,1)=FALSE(),FALSE()),FALSE(),IF(IFERROR(DATE(2027,6,1)&lt;=DATE(2027,12,1)=FALSE(),FALSE()),FALSE(),IF(IFERROR('Model inputs'!B705=FALSE(),FALSE()),FALSE(),IF('Model inputs'!B705="","",AND(DATE(2027,6,1)&gt;=DATE(2026,10,1),DATE(2027,6,1)&lt;=DATE(2027,12,1),'Model inputs'!B705)))))</f>
        <v>0</v>
      </c>
    </row>
    <row r="707" customFormat="false" ht="18" hidden="false" customHeight="false" outlineLevel="0" collapsed="false">
      <c r="A707" s="27" t="s">
        <v>438</v>
      </c>
      <c r="B707" s="0" t="b">
        <f aca="false">IF(ISERROR('Gainsay economics · Gainsay dat'!K15=MIN('Gainsay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dat'!K15=MIN('Gainsay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dat'!K15="",MIN('Gainsay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dat'!K15=MIN('Gainsay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08" customFormat="false" ht="18" hidden="false" customHeight="false" outlineLevel="0" collapsed="false">
      <c r="A708" s="27" t="s">
        <v>438</v>
      </c>
      <c r="B708" s="0" t="b">
        <f aca="false">IF(IFERROR(DATE(2027,7,1)&gt;=DATE(2026,10,1)=FALSE(),FALSE()),FALSE(),IF(IFERROR(DATE(2027,7,1)&lt;=DATE(2027,12,1)=FALSE(),FALSE()),FALSE(),IF(IFERROR('Model inputs'!B707=FALSE(),FALSE()),FALSE(),IF('Model inputs'!B707="","",AND(DATE(2027,7,1)&gt;=DATE(2026,10,1),DATE(2027,7,1)&lt;=DATE(2027,12,1),'Model inputs'!B707)))))</f>
        <v>0</v>
      </c>
    </row>
    <row r="709" customFormat="false" ht="18" hidden="false" customHeight="false" outlineLevel="0" collapsed="false">
      <c r="A709" s="27" t="s">
        <v>438</v>
      </c>
      <c r="B709" s="0" t="b">
        <f aca="false">IF(ISERROR('Gainsay economics · Gainsay dat'!L15=MIN('Gainsay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dat'!L15=MIN('Gainsay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dat'!L15="",MIN('Gainsay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dat'!L15=MIN('Gainsay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10" customFormat="false" ht="18" hidden="false" customHeight="false" outlineLevel="0" collapsed="false">
      <c r="A710" s="27" t="s">
        <v>438</v>
      </c>
      <c r="B710" s="0" t="b">
        <f aca="false">IF(IFERROR(DATE(2027,8,1)&gt;=DATE(2026,10,1)=FALSE(),FALSE()),FALSE(),IF(IFERROR(DATE(2027,8,1)&lt;=DATE(2027,12,1)=FALSE(),FALSE()),FALSE(),IF(IFERROR('Model inputs'!B709=FALSE(),FALSE()),FALSE(),IF('Model inputs'!B709="","",AND(DATE(2027,8,1)&gt;=DATE(2026,10,1),DATE(2027,8,1)&lt;=DATE(2027,12,1),'Model inputs'!B709)))))</f>
        <v>0</v>
      </c>
    </row>
    <row r="711" customFormat="false" ht="18" hidden="false" customHeight="false" outlineLevel="0" collapsed="false">
      <c r="A711" s="27" t="s">
        <v>438</v>
      </c>
      <c r="B711" s="0" t="b">
        <f aca="false">IF(ISERROR('Gainsay economics · Gainsay dat'!M15=MIN('Gainsay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dat'!M15=MIN('Gainsay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dat'!M15="",MIN('Gainsay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dat'!M15=MIN('Gainsay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12" customFormat="false" ht="18" hidden="false" customHeight="false" outlineLevel="0" collapsed="false">
      <c r="A712" s="27" t="s">
        <v>438</v>
      </c>
      <c r="B712" s="0" t="b">
        <f aca="false">IF(IFERROR(DATE(2027,9,1)&gt;=DATE(2026,10,1)=FALSE(),FALSE()),FALSE(),IF(IFERROR(DATE(2027,9,1)&lt;=DATE(2027,12,1)=FALSE(),FALSE()),FALSE(),IF(IFERROR('Model inputs'!B711=FALSE(),FALSE()),FALSE(),IF('Model inputs'!B711="","",AND(DATE(2027,9,1)&gt;=DATE(2026,10,1),DATE(2027,9,1)&lt;=DATE(2027,12,1),'Model inputs'!B711)))))</f>
        <v>0</v>
      </c>
    </row>
    <row r="713" customFormat="false" ht="18" hidden="false" customHeight="false" outlineLevel="0" collapsed="false">
      <c r="A713" s="27" t="s">
        <v>438</v>
      </c>
      <c r="B713" s="0" t="b">
        <f aca="false">IF(ISERROR('Gainsay economics · Gainsay dat'!N15=MIN('Gainsay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dat'!N15=MIN('Gainsay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dat'!N15="",MIN('Gainsay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dat'!N15=MIN('Gainsay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14" customFormat="false" ht="18" hidden="false" customHeight="false" outlineLevel="0" collapsed="false">
      <c r="A714" s="27" t="s">
        <v>438</v>
      </c>
      <c r="B714" s="0" t="b">
        <f aca="false">IF(IFERROR(DATE(2027,10,1)&gt;=DATE(2026,10,1)=FALSE(),FALSE()),FALSE(),IF(IFERROR(DATE(2027,10,1)&lt;=DATE(2027,12,1)=FALSE(),FALSE()),FALSE(),IF(IFERROR('Model inputs'!B713=FALSE(),FALSE()),FALSE(),IF('Model inputs'!B713="","",AND(DATE(2027,10,1)&gt;=DATE(2026,10,1),DATE(2027,10,1)&lt;=DATE(2027,12,1),'Model inputs'!B713)))))</f>
        <v>0</v>
      </c>
    </row>
    <row r="715" customFormat="false" ht="18" hidden="false" customHeight="false" outlineLevel="0" collapsed="false">
      <c r="A715" s="27" t="s">
        <v>438</v>
      </c>
      <c r="B715" s="0" t="b">
        <f aca="false">IF(ISERROR('Gainsay economics · Gainsay dat'!O15=MIN('Gainsay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dat'!O15=MIN('Gainsay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dat'!O15="",MIN('Gainsay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dat'!O15=MIN('Gainsay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0</v>
      </c>
    </row>
    <row r="716" customFormat="false" ht="18" hidden="false" customHeight="false" outlineLevel="0" collapsed="false">
      <c r="A716" s="27" t="s">
        <v>438</v>
      </c>
      <c r="B716" s="0" t="b">
        <f aca="false">IF(IFERROR(DATE(2027,11,1)&gt;=DATE(2026,10,1)=FALSE(),FALSE()),FALSE(),IF(IFERROR(DATE(2027,11,1)&lt;=DATE(2027,12,1)=FALSE(),FALSE()),FALSE(),IF(IFERROR('Model inputs'!B715=FALSE(),FALSE()),FALSE(),IF('Model inputs'!B715="","",AND(DATE(2027,11,1)&gt;=DATE(2026,10,1),DATE(2027,11,1)&lt;=DATE(2027,12,1),'Model inputs'!B715)))))</f>
        <v>0</v>
      </c>
    </row>
    <row r="717" customFormat="false" ht="18" hidden="false" customHeight="false" outlineLevel="0" collapsed="false">
      <c r="A717" s="27" t="s">
        <v>438</v>
      </c>
      <c r="B717" s="0" t="b">
        <f aca="false">IF(ISERROR('Gainsay economics · Gainsay dat'!P15=MIN('Gainsay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dat'!P15)),'Gainsay economics · Gainsay dat'!P15=MIN('Gainsay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dat'!P15),IF(OR('Gainsay economics · Gainsay dat'!P15="",MIN('Gainsay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dat'!P15)=""),"",'Gainsay economics · Gainsay dat'!P15=MIN('Gainsay economics · Gainsay dat'!B15,'Gainsay economics · Gainsay dat'!C15,'Gainsay economics · Gainsay dat'!D15,'Gainsay economics · Gainsay dat'!E15,'Gainsay economics · Gainsay dat'!F15,'Gainsay economics · Gainsay dat'!G15,'Gainsay economics · Gainsay dat'!H15,'Gainsay economics · Gainsay dat'!I15,'Gainsay economics · Gainsay dat'!J15,'Gainsay economics · Gainsay dat'!K15,'Gainsay economics · Gainsay dat'!L15,'Gainsay economics · Gainsay dat'!M15,'Gainsay economics · Gainsay dat'!N15,'Gainsay economics · Gainsay dat'!O15,'Gainsay economics · Gainsay dat'!P15)))</f>
        <v>1</v>
      </c>
    </row>
    <row r="718" customFormat="false" ht="18" hidden="false" customHeight="false" outlineLevel="0" collapsed="false">
      <c r="A718" s="27" t="s">
        <v>438</v>
      </c>
      <c r="B718" s="0" t="b">
        <f aca="false">IF(IFERROR(DATE(2027,12,1)&gt;=DATE(2026,10,1)=FALSE(),FALSE()),FALSE(),IF(IFERROR(DATE(2027,12,1)&lt;=DATE(2027,12,1)=FALSE(),FALSE()),FALSE(),IF(IFERROR('Model inputs'!B717=FALSE(),FALSE()),FALSE(),IF('Model inputs'!B717="","",AND(DATE(2027,12,1)&gt;=DATE(2026,10,1),DATE(2027,12,1)&lt;=DATE(2027,12,1),'Model inputs'!B717)))))</f>
        <v>1</v>
      </c>
    </row>
    <row r="719" customFormat="false" ht="18" hidden="false" customHeight="false" outlineLevel="0" collapsed="false">
      <c r="A719" s="27" t="s">
        <v>438</v>
      </c>
      <c r="B719" s="0" t="b">
        <f aca="false">IF(ISERROR('Model inputs'!B42=MIN('Model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inputs'!B42=MIN('Model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inputs'!B42="",MIN('Model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inputs'!B42=MIN('Model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20" customFormat="false" ht="18" hidden="false" customHeight="false" outlineLevel="0" collapsed="false">
      <c r="A720" s="27" t="s">
        <v>438</v>
      </c>
      <c r="B720" s="0" t="b">
        <f aca="false">IF(IFERROR(DATE(2026,1,1)&gt;=DATE(2026,10,1)=FALSE(),FALSE()),FALSE(),IF(IFERROR(DATE(2026,1,1)&lt;=DATE(2027,12,1)=FALSE(),FALSE()),FALSE(),IF(IFERROR('Model inputs'!B719=FALSE(),FALSE()),FALSE(),IF('Model inputs'!B719="","",AND(DATE(2026,1,1)&gt;=DATE(2026,10,1),DATE(2026,1,1)&lt;=DATE(2027,12,1),'Model inputs'!B719)))))</f>
        <v>0</v>
      </c>
    </row>
    <row r="721" customFormat="false" ht="18" hidden="false" customHeight="false" outlineLevel="0" collapsed="false">
      <c r="A721" s="27" t="s">
        <v>438</v>
      </c>
      <c r="B721" s="0" t="b">
        <f aca="false">IF(ISERROR('Model inputs'!C42=MIN('Model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inputs'!C42=MIN('Model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inputs'!C42="",MIN('Model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inputs'!C42=MIN('Model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22" customFormat="false" ht="18" hidden="false" customHeight="false" outlineLevel="0" collapsed="false">
      <c r="A722" s="27" t="s">
        <v>438</v>
      </c>
      <c r="B722" s="0" t="b">
        <f aca="false">IF(IFERROR(DATE(2026,2,1)&gt;=DATE(2026,10,1)=FALSE(),FALSE()),FALSE(),IF(IFERROR(DATE(2026,2,1)&lt;=DATE(2027,12,1)=FALSE(),FALSE()),FALSE(),IF(IFERROR('Model inputs'!B721=FALSE(),FALSE()),FALSE(),IF('Model inputs'!B721="","",AND(DATE(2026,2,1)&gt;=DATE(2026,10,1),DATE(2026,2,1)&lt;=DATE(2027,12,1),'Model inputs'!B721)))))</f>
        <v>0</v>
      </c>
    </row>
    <row r="723" customFormat="false" ht="18" hidden="false" customHeight="false" outlineLevel="0" collapsed="false">
      <c r="A723" s="27" t="s">
        <v>438</v>
      </c>
      <c r="B723" s="0" t="b">
        <f aca="false">IF(ISERROR('Model inputs'!D42=MIN('Model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inputs'!D42=MIN('Model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inputs'!D42="",MIN('Model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inputs'!D42=MIN('Model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24" customFormat="false" ht="18" hidden="false" customHeight="false" outlineLevel="0" collapsed="false">
      <c r="A724" s="27" t="s">
        <v>438</v>
      </c>
      <c r="B724" s="0" t="b">
        <f aca="false">IF(IFERROR(DATE(2026,3,1)&gt;=DATE(2026,10,1)=FALSE(),FALSE()),FALSE(),IF(IFERROR(DATE(2026,3,1)&lt;=DATE(2027,12,1)=FALSE(),FALSE()),FALSE(),IF(IFERROR('Model inputs'!B723=FALSE(),FALSE()),FALSE(),IF('Model inputs'!B723="","",AND(DATE(2026,3,1)&gt;=DATE(2026,10,1),DATE(2026,3,1)&lt;=DATE(2027,12,1),'Model inputs'!B723)))))</f>
        <v>0</v>
      </c>
    </row>
    <row r="725" customFormat="false" ht="18" hidden="false" customHeight="false" outlineLevel="0" collapsed="false">
      <c r="A725" s="27" t="s">
        <v>438</v>
      </c>
      <c r="B725" s="0" t="b">
        <f aca="false">IF(ISERROR('Model inputs'!E42=MIN('Model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inputs'!E42=MIN('Model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inputs'!E42="",MIN('Model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inputs'!E42=MIN('Model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26" customFormat="false" ht="18" hidden="false" customHeight="false" outlineLevel="0" collapsed="false">
      <c r="A726" s="27" t="s">
        <v>438</v>
      </c>
      <c r="B726" s="0" t="b">
        <f aca="false">IF(IFERROR(DATE(2026,4,1)&gt;=DATE(2026,10,1)=FALSE(),FALSE()),FALSE(),IF(IFERROR(DATE(2026,4,1)&lt;=DATE(2027,12,1)=FALSE(),FALSE()),FALSE(),IF(IFERROR('Model inputs'!B725=FALSE(),FALSE()),FALSE(),IF('Model inputs'!B725="","",AND(DATE(2026,4,1)&gt;=DATE(2026,10,1),DATE(2026,4,1)&lt;=DATE(2027,12,1),'Model inputs'!B725)))))</f>
        <v>0</v>
      </c>
    </row>
    <row r="727" customFormat="false" ht="18" hidden="false" customHeight="false" outlineLevel="0" collapsed="false">
      <c r="A727" s="27" t="s">
        <v>438</v>
      </c>
      <c r="B727" s="0" t="b">
        <f aca="false">IF(ISERROR('Model inputs'!F42=MIN('Model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inputs'!F42=MIN('Model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inputs'!F42="",MIN('Model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inputs'!F42=MIN('Model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28" customFormat="false" ht="18" hidden="false" customHeight="false" outlineLevel="0" collapsed="false">
      <c r="A728" s="27" t="s">
        <v>438</v>
      </c>
      <c r="B728" s="0" t="b">
        <f aca="false">IF(IFERROR(DATE(2026,5,1)&gt;=DATE(2026,10,1)=FALSE(),FALSE()),FALSE(),IF(IFERROR(DATE(2026,5,1)&lt;=DATE(2027,12,1)=FALSE(),FALSE()),FALSE(),IF(IFERROR('Model inputs'!B727=FALSE(),FALSE()),FALSE(),IF('Model inputs'!B727="","",AND(DATE(2026,5,1)&gt;=DATE(2026,10,1),DATE(2026,5,1)&lt;=DATE(2027,12,1),'Model inputs'!B727)))))</f>
        <v>0</v>
      </c>
    </row>
    <row r="729" customFormat="false" ht="18" hidden="false" customHeight="false" outlineLevel="0" collapsed="false">
      <c r="A729" s="27" t="s">
        <v>438</v>
      </c>
      <c r="B729" s="0" t="b">
        <f aca="false">IF(ISERROR('Model inputs'!G42=MIN('Model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inputs'!G42=MIN('Model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inputs'!G42="",MIN('Model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inputs'!G42=MIN('Model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30" customFormat="false" ht="18" hidden="false" customHeight="false" outlineLevel="0" collapsed="false">
      <c r="A730" s="27" t="s">
        <v>438</v>
      </c>
      <c r="B730" s="0" t="b">
        <f aca="false">IF(IFERROR(DATE(2026,6,1)&gt;=DATE(2026,10,1)=FALSE(),FALSE()),FALSE(),IF(IFERROR(DATE(2026,6,1)&lt;=DATE(2027,12,1)=FALSE(),FALSE()),FALSE(),IF(IFERROR('Model inputs'!B729=FALSE(),FALSE()),FALSE(),IF('Model inputs'!B729="","",AND(DATE(2026,6,1)&gt;=DATE(2026,10,1),DATE(2026,6,1)&lt;=DATE(2027,12,1),'Model inputs'!B729)))))</f>
        <v>0</v>
      </c>
    </row>
    <row r="731" customFormat="false" ht="18" hidden="false" customHeight="false" outlineLevel="0" collapsed="false">
      <c r="A731" s="27" t="s">
        <v>438</v>
      </c>
      <c r="B731" s="0" t="b">
        <f aca="false">IF(ISERROR('Model inputs'!H42=MIN('Model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inputs'!H42=MIN('Model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inputs'!H42="",MIN('Model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inputs'!H42=MIN('Model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32" customFormat="false" ht="18" hidden="false" customHeight="false" outlineLevel="0" collapsed="false">
      <c r="A732" s="27" t="s">
        <v>438</v>
      </c>
      <c r="B732" s="0" t="b">
        <f aca="false">IF(IFERROR(DATE(2026,7,1)&gt;=DATE(2026,10,1)=FALSE(),FALSE()),FALSE(),IF(IFERROR(DATE(2026,7,1)&lt;=DATE(2027,12,1)=FALSE(),FALSE()),FALSE(),IF(IFERROR('Model inputs'!B731=FALSE(),FALSE()),FALSE(),IF('Model inputs'!B731="","",AND(DATE(2026,7,1)&gt;=DATE(2026,10,1),DATE(2026,7,1)&lt;=DATE(2027,12,1),'Model inputs'!B731)))))</f>
        <v>0</v>
      </c>
    </row>
    <row r="733" customFormat="false" ht="18" hidden="false" customHeight="false" outlineLevel="0" collapsed="false">
      <c r="A733" s="27" t="s">
        <v>438</v>
      </c>
      <c r="B733" s="0" t="b">
        <f aca="false">IF(ISERROR('Model inputs'!I42=MIN('Model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inputs'!I42=MIN('Model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inputs'!I42="",MIN('Model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inputs'!I42=MIN('Model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34" customFormat="false" ht="18" hidden="false" customHeight="false" outlineLevel="0" collapsed="false">
      <c r="A734" s="27" t="s">
        <v>438</v>
      </c>
      <c r="B734" s="0" t="b">
        <f aca="false">IF(IFERROR(DATE(2026,8,1)&gt;=DATE(2026,10,1)=FALSE(),FALSE()),FALSE(),IF(IFERROR(DATE(2026,8,1)&lt;=DATE(2027,12,1)=FALSE(),FALSE()),FALSE(),IF(IFERROR('Model inputs'!B733=FALSE(),FALSE()),FALSE(),IF('Model inputs'!B733="","",AND(DATE(2026,8,1)&gt;=DATE(2026,10,1),DATE(2026,8,1)&lt;=DATE(2027,12,1),'Model inputs'!B733)))))</f>
        <v>0</v>
      </c>
    </row>
    <row r="735" customFormat="false" ht="18" hidden="false" customHeight="false" outlineLevel="0" collapsed="false">
      <c r="A735" s="27" t="s">
        <v>438</v>
      </c>
      <c r="B735" s="0" t="b">
        <f aca="false">IF(ISERROR('Model inputs'!J42=MIN('Model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inputs'!Y42)),'Model inputs'!J42=MIN('Model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inputs'!Y42),IF(OR('Model inputs'!J42="",MIN('Model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inputs'!Y42)=""),"",'Model inputs'!J42=MIN('Model inputs'!K42,'Model inputs'!L42,'Model inputs'!M42,'Model inputs'!N42,'Model inputs'!O42,'Model inputs'!P42,'Model inputs'!Q42,'Model inputs'!R42,'Model inputs'!S42,'Model inputs'!T42,'Model inputs'!U42,'Model inputs'!V42,'Model inputs'!W42,'Model inputs'!X42,'Model inputs'!Y42)))</f>
        <v>0</v>
      </c>
    </row>
    <row r="736" customFormat="false" ht="18" hidden="false" customHeight="false" outlineLevel="0" collapsed="false">
      <c r="A736" s="27" t="s">
        <v>438</v>
      </c>
      <c r="B736" s="0" t="b">
        <f aca="false">IF(IFERROR(DATE(2026,9,1)&gt;=DATE(2026,10,1)=FALSE(),FALSE()),FALSE(),IF(IFERROR(DATE(2026,9,1)&lt;=DATE(2027,12,1)=FALSE(),FALSE()),FALSE(),IF(IFERROR('Model inputs'!B735=FALSE(),FALSE()),FALSE(),IF('Model inputs'!B735="","",AND(DATE(2026,9,1)&gt;=DATE(2026,10,1),DATE(2026,9,1)&lt;=DATE(2027,12,1),'Model inputs'!B735)))))</f>
        <v>0</v>
      </c>
    </row>
    <row r="737" customFormat="false" ht="18" hidden="false" customHeight="false" outlineLevel="0" collapsed="false">
      <c r="A737" s="27" t="s">
        <v>438</v>
      </c>
      <c r="B737" s="0" t="str">
        <f aca="false">IF(IF('Model inputs'!B690="",FALSE(),'Model inputs'!B690),'Gainsay economics · Gainsay ope'!B42,"")</f>
        <v/>
      </c>
    </row>
    <row r="738" customFormat="false" ht="18" hidden="false" customHeight="false" outlineLevel="0" collapsed="false">
      <c r="A738" s="27" t="s">
        <v>438</v>
      </c>
      <c r="B738" s="0" t="str">
        <f aca="false">IF(IF('Model inputs'!B692="",FALSE(),'Model inputs'!B692),'Gainsay economics · Gainsay ope'!C42,"")</f>
        <v/>
      </c>
    </row>
    <row r="739" customFormat="false" ht="18" hidden="false" customHeight="false" outlineLevel="0" collapsed="false">
      <c r="A739" s="27" t="s">
        <v>438</v>
      </c>
      <c r="B739" s="0" t="str">
        <f aca="false">IF(IF('Model inputs'!B694="",FALSE(),'Model inputs'!B694),'Gainsay economics · Gainsay ope'!D42,"")</f>
        <v/>
      </c>
    </row>
    <row r="740" customFormat="false" ht="18" hidden="false" customHeight="false" outlineLevel="0" collapsed="false">
      <c r="A740" s="27" t="s">
        <v>438</v>
      </c>
      <c r="B740" s="0" t="str">
        <f aca="false">IF(IF('Model inputs'!B696="",FALSE(),'Model inputs'!B696),'Gainsay economics · Gainsay ope'!E42,"")</f>
        <v/>
      </c>
    </row>
    <row r="741" customFormat="false" ht="18" hidden="false" customHeight="false" outlineLevel="0" collapsed="false">
      <c r="A741" s="27" t="s">
        <v>438</v>
      </c>
      <c r="B741" s="0" t="str">
        <f aca="false">IF(IF('Model inputs'!B698="",FALSE(),'Model inputs'!B698),'Gainsay economics · Gainsay ope'!F42,"")</f>
        <v/>
      </c>
    </row>
    <row r="742" customFormat="false" ht="18" hidden="false" customHeight="false" outlineLevel="0" collapsed="false">
      <c r="A742" s="27" t="s">
        <v>438</v>
      </c>
      <c r="B742" s="0" t="str">
        <f aca="false">IF(IF('Model inputs'!B700="",FALSE(),'Model inputs'!B700),'Gainsay economics · Gainsay ope'!G42,"")</f>
        <v/>
      </c>
    </row>
    <row r="743" customFormat="false" ht="18" hidden="false" customHeight="false" outlineLevel="0" collapsed="false">
      <c r="A743" s="27" t="s">
        <v>438</v>
      </c>
      <c r="B743" s="0" t="str">
        <f aca="false">IF(IF('Model inputs'!B702="",FALSE(),'Model inputs'!B702),'Gainsay economics · Gainsay ope'!H42,"")</f>
        <v/>
      </c>
    </row>
    <row r="744" customFormat="false" ht="18" hidden="false" customHeight="false" outlineLevel="0" collapsed="false">
      <c r="A744" s="27" t="s">
        <v>438</v>
      </c>
      <c r="B744" s="0" t="str">
        <f aca="false">IF(IF('Model inputs'!B704="",FALSE(),'Model inputs'!B704),'Gainsay economics · Gainsay ope'!I42,"")</f>
        <v/>
      </c>
    </row>
    <row r="745" customFormat="false" ht="18" hidden="false" customHeight="false" outlineLevel="0" collapsed="false">
      <c r="A745" s="27" t="s">
        <v>438</v>
      </c>
      <c r="B745" s="0" t="str">
        <f aca="false">IF(IF('Model inputs'!B706="",FALSE(),'Model inputs'!B706),'Gainsay economics · Gainsay ope'!J42,"")</f>
        <v/>
      </c>
    </row>
    <row r="746" customFormat="false" ht="18" hidden="false" customHeight="false" outlineLevel="0" collapsed="false">
      <c r="A746" s="27" t="s">
        <v>438</v>
      </c>
      <c r="B746" s="0" t="str">
        <f aca="false">IF(IF('Model inputs'!B708="",FALSE(),'Model inputs'!B708),'Gainsay economics · Gainsay ope'!K42,"")</f>
        <v/>
      </c>
    </row>
    <row r="747" customFormat="false" ht="18" hidden="false" customHeight="false" outlineLevel="0" collapsed="false">
      <c r="A747" s="27" t="s">
        <v>438</v>
      </c>
      <c r="B747" s="0" t="str">
        <f aca="false">IF(IF('Model inputs'!B710="",FALSE(),'Model inputs'!B710),'Gainsay economics · Gainsay ope'!L42,"")</f>
        <v/>
      </c>
    </row>
    <row r="748" customFormat="false" ht="18" hidden="false" customHeight="false" outlineLevel="0" collapsed="false">
      <c r="A748" s="27" t="s">
        <v>438</v>
      </c>
      <c r="B748" s="0" t="str">
        <f aca="false">IF(IF('Model inputs'!B712="",FALSE(),'Model inputs'!B712),'Gainsay economics · Gainsay ope'!M42,"")</f>
        <v/>
      </c>
    </row>
    <row r="749" customFormat="false" ht="18" hidden="false" customHeight="false" outlineLevel="0" collapsed="false">
      <c r="A749" s="27" t="s">
        <v>438</v>
      </c>
      <c r="B749" s="0" t="str">
        <f aca="false">IF(IF('Model inputs'!B714="",FALSE(),'Model inputs'!B714),'Gainsay economics · Gainsay ope'!N42,"")</f>
        <v/>
      </c>
    </row>
    <row r="750" customFormat="false" ht="18" hidden="false" customHeight="false" outlineLevel="0" collapsed="false">
      <c r="A750" s="27" t="s">
        <v>438</v>
      </c>
      <c r="B750" s="0" t="str">
        <f aca="false">IF(IF('Model inputs'!B716="",FALSE(),'Model inputs'!B716),'Gainsay economics · Gainsay ope'!O42,"")</f>
        <v/>
      </c>
    </row>
    <row r="751" customFormat="false" ht="18" hidden="false" customHeight="false" outlineLevel="0" collapsed="false">
      <c r="A751" s="27" t="s">
        <v>438</v>
      </c>
      <c r="B751" s="0" t="n">
        <f aca="false">IF(IF('Model inputs'!B718="",FALSE(),'Model inputs'!B718),'Gainsay economics · Gainsay ope'!P42,"")</f>
        <v>15</v>
      </c>
    </row>
    <row r="752" customFormat="false" ht="18" hidden="false" customHeight="false" outlineLevel="0" collapsed="false">
      <c r="A752" s="27" t="s">
        <v>438</v>
      </c>
      <c r="B752" s="0" t="str">
        <f aca="false">IF(IF('Model inputs'!B720="",FALSE(),'Model inputs'!B720),'Model inputs'!B97,"")</f>
        <v/>
      </c>
    </row>
    <row r="753" customFormat="false" ht="18" hidden="false" customHeight="false" outlineLevel="0" collapsed="false">
      <c r="A753" s="27" t="s">
        <v>438</v>
      </c>
      <c r="B753" s="0" t="str">
        <f aca="false">IF(IF('Model inputs'!B722="",FALSE(),'Model inputs'!B722),'Model inputs'!C97,"")</f>
        <v/>
      </c>
    </row>
    <row r="754" customFormat="false" ht="18" hidden="false" customHeight="false" outlineLevel="0" collapsed="false">
      <c r="A754" s="27" t="s">
        <v>438</v>
      </c>
      <c r="B754" s="0" t="str">
        <f aca="false">IF(IF('Model inputs'!B724="",FALSE(),'Model inputs'!B724),'Model inputs'!D97,"")</f>
        <v/>
      </c>
    </row>
    <row r="755" customFormat="false" ht="18" hidden="false" customHeight="false" outlineLevel="0" collapsed="false">
      <c r="A755" s="27" t="s">
        <v>438</v>
      </c>
      <c r="B755" s="0" t="str">
        <f aca="false">IF(IF('Model inputs'!B726="",FALSE(),'Model inputs'!B726),'Model inputs'!E97,"")</f>
        <v/>
      </c>
    </row>
    <row r="756" customFormat="false" ht="18" hidden="false" customHeight="false" outlineLevel="0" collapsed="false">
      <c r="A756" s="27" t="s">
        <v>438</v>
      </c>
      <c r="B756" s="0" t="str">
        <f aca="false">IF(IF('Model inputs'!B728="",FALSE(),'Model inputs'!B728),'Model inputs'!F97,"")</f>
        <v/>
      </c>
    </row>
    <row r="757" customFormat="false" ht="18" hidden="false" customHeight="false" outlineLevel="0" collapsed="false">
      <c r="A757" s="27" t="s">
        <v>438</v>
      </c>
      <c r="B757" s="0" t="str">
        <f aca="false">IF(IF('Model inputs'!B730="",FALSE(),'Model inputs'!B730),'Model inputs'!G97,"")</f>
        <v/>
      </c>
    </row>
    <row r="758" customFormat="false" ht="18" hidden="false" customHeight="false" outlineLevel="0" collapsed="false">
      <c r="A758" s="27" t="s">
        <v>438</v>
      </c>
      <c r="B758" s="0" t="str">
        <f aca="false">IF(IF('Model inputs'!B732="",FALSE(),'Model inputs'!B732),'Model inputs'!H97,"")</f>
        <v/>
      </c>
    </row>
    <row r="759" customFormat="false" ht="18" hidden="false" customHeight="false" outlineLevel="0" collapsed="false">
      <c r="A759" s="27" t="s">
        <v>438</v>
      </c>
      <c r="B759" s="0" t="str">
        <f aca="false">IF(IF('Model inputs'!B734="",FALSE(),'Model inputs'!B734),'Model inputs'!I97,"")</f>
        <v/>
      </c>
    </row>
    <row r="760" customFormat="false" ht="18" hidden="false" customHeight="false" outlineLevel="0" collapsed="false">
      <c r="A760" s="27" t="s">
        <v>438</v>
      </c>
      <c r="B760" s="0" t="str">
        <f aca="false">IF(IF('Model inputs'!B736="",FALSE(),'Model inputs'!B736),'Model inputs'!J97,"")</f>
        <v/>
      </c>
    </row>
    <row r="761" customFormat="false" ht="18" hidden="false" customHeight="false" outlineLevel="0" collapsed="false">
      <c r="A761" s="27" t="s">
        <v>438</v>
      </c>
      <c r="B761" s="0" t="n">
        <f aca="false">(IF(AND('Model inputs'!B737="",'Model inputs'!B738="",'Model inputs'!B739="",'Model inputs'!B740="",'Model inputs'!B741="",'Model inputs'!B742="",'Model inputs'!B743="",'Model inputs'!B744="",'Model inputs'!B745="",'Model inputs'!B746="",'Model inputs'!B747="",'Model inputs'!B748="",'Model inputs'!B749="",'Model inputs'!B750="",'Model inputs'!B751="",'Model inputs'!B752="",'Model inputs'!B753="",'Model inputs'!B754="",'Model inputs'!B755="",'Model inputs'!B756="",'Model inputs'!B757="",'Model inputs'!B758="",'Model inputs'!B759="",'Model inputs'!B760=""),"",MIN('Model inputs'!B737,'Model inputs'!B738,'Model inputs'!B739,'Model inputs'!B740,'Model inputs'!B741,'Model inputs'!B742,'Model inputs'!B743,'Model inputs'!B744,'Model inputs'!B745,'Model inputs'!B746,'Model inputs'!B747,'Model inputs'!B748,'Model inputs'!B749,'Model inputs'!B750,'Model inputs'!B751,'Model inputs'!B752,'Model inputs'!B753,'Model inputs'!B754,'Model inputs'!B755,'Model inputs'!B756,'Model inputs'!B757,'Model inputs'!B758,'Model inputs'!B759,'Model inputs'!B760)))</f>
        <v>15</v>
      </c>
    </row>
    <row r="762" customFormat="false" ht="18" hidden="false" customHeight="false" outlineLevel="0" collapsed="false">
      <c r="A762" s="27" t="s">
        <v>438</v>
      </c>
      <c r="B762" s="0" t="b">
        <f aca="false">IF(ISERROR('Gainsay economics · Gainsay dat'!B12&gt;0),'Gainsay economics · Gainsay dat'!B12&gt;0,IF('Gainsay economics · Gainsay dat'!B12="","",'Gainsay economics · Gainsay dat'!B12&gt;0))</f>
        <v>0</v>
      </c>
    </row>
    <row r="763" customFormat="false" ht="18" hidden="false" customHeight="false" outlineLevel="0" collapsed="false">
      <c r="A763" s="27" t="s">
        <v>438</v>
      </c>
      <c r="B763" s="0" t="b">
        <f aca="false">IF(IFERROR(DATE(2026,10,1)&gt;=DATE(2026,10,1)=FALSE(),FALSE()),FALSE(),IF(IFERROR(DATE(2026,10,1)&lt;=DATE(2027,12,1)=FALSE(),FALSE()),FALSE(),IF(IFERROR('Model inputs'!B762=FALSE(),FALSE()),FALSE(),IF('Model inputs'!B762="","",AND(DATE(2026,10,1)&gt;=DATE(2026,10,1),DATE(2026,10,1)&lt;=DATE(2027,12,1),'Model inputs'!B762)))))</f>
        <v>0</v>
      </c>
    </row>
    <row r="764" customFormat="false" ht="18" hidden="false" customHeight="false" outlineLevel="0" collapsed="false">
      <c r="A764" s="27" t="s">
        <v>438</v>
      </c>
      <c r="B764" s="0" t="b">
        <f aca="false">IF(ISERROR('Gainsay economics · Gainsay dat'!C12&gt;0),'Gainsay economics · Gainsay dat'!C12&gt;0,IF('Gainsay economics · Gainsay dat'!C12="","",'Gainsay economics · Gainsay dat'!C12&gt;0))</f>
        <v>0</v>
      </c>
    </row>
    <row r="765" customFormat="false" ht="18" hidden="false" customHeight="false" outlineLevel="0" collapsed="false">
      <c r="A765" s="27" t="s">
        <v>438</v>
      </c>
      <c r="B765" s="0" t="b">
        <f aca="false">IF(IFERROR(DATE(2026,11,1)&gt;=DATE(2026,10,1)=FALSE(),FALSE()),FALSE(),IF(IFERROR(DATE(2026,11,1)&lt;=DATE(2027,12,1)=FALSE(),FALSE()),FALSE(),IF(IFERROR('Model inputs'!B764=FALSE(),FALSE()),FALSE(),IF('Model inputs'!B764="","",AND(DATE(2026,11,1)&gt;=DATE(2026,10,1),DATE(2026,11,1)&lt;=DATE(2027,12,1),'Model inputs'!B764)))))</f>
        <v>0</v>
      </c>
    </row>
    <row r="766" customFormat="false" ht="18" hidden="false" customHeight="false" outlineLevel="0" collapsed="false">
      <c r="A766" s="27" t="s">
        <v>438</v>
      </c>
      <c r="B766" s="0" t="b">
        <f aca="false">IF(ISERROR('Gainsay economics · Gainsay dat'!D12&gt;0),'Gainsay economics · Gainsay dat'!D12&gt;0,IF('Gainsay economics · Gainsay dat'!D12="","",'Gainsay economics · Gainsay dat'!D12&gt;0))</f>
        <v>0</v>
      </c>
    </row>
    <row r="767" customFormat="false" ht="18" hidden="false" customHeight="false" outlineLevel="0" collapsed="false">
      <c r="A767" s="27" t="s">
        <v>438</v>
      </c>
      <c r="B767" s="0" t="b">
        <f aca="false">IF(IFERROR(DATE(2026,12,1)&gt;=DATE(2026,10,1)=FALSE(),FALSE()),FALSE(),IF(IFERROR(DATE(2026,12,1)&lt;=DATE(2027,12,1)=FALSE(),FALSE()),FALSE(),IF(IFERROR('Model inputs'!B766=FALSE(),FALSE()),FALSE(),IF('Model inputs'!B766="","",AND(DATE(2026,12,1)&gt;=DATE(2026,10,1),DATE(2026,12,1)&lt;=DATE(2027,12,1),'Model inputs'!B766)))))</f>
        <v>0</v>
      </c>
    </row>
    <row r="768" customFormat="false" ht="18" hidden="false" customHeight="false" outlineLevel="0" collapsed="false">
      <c r="A768" s="27" t="s">
        <v>438</v>
      </c>
      <c r="B768" s="0" t="b">
        <f aca="false">IF(ISERROR('Gainsay economics · Gainsay dat'!E12&gt;0),'Gainsay economics · Gainsay dat'!E12&gt;0,IF('Gainsay economics · Gainsay dat'!E12="","",'Gainsay economics · Gainsay dat'!E12&gt;0))</f>
        <v>0</v>
      </c>
    </row>
    <row r="769" customFormat="false" ht="18" hidden="false" customHeight="false" outlineLevel="0" collapsed="false">
      <c r="A769" s="27" t="s">
        <v>438</v>
      </c>
      <c r="B769" s="0" t="b">
        <f aca="false">IF(IFERROR(DATE(2027,1,1)&gt;=DATE(2026,10,1)=FALSE(),FALSE()),FALSE(),IF(IFERROR(DATE(2027,1,1)&lt;=DATE(2027,12,1)=FALSE(),FALSE()),FALSE(),IF(IFERROR('Model inputs'!B768=FALSE(),FALSE()),FALSE(),IF('Model inputs'!B768="","",AND(DATE(2027,1,1)&gt;=DATE(2026,10,1),DATE(2027,1,1)&lt;=DATE(2027,12,1),'Model inputs'!B768)))))</f>
        <v>0</v>
      </c>
    </row>
    <row r="770" customFormat="false" ht="18" hidden="false" customHeight="false" outlineLevel="0" collapsed="false">
      <c r="A770" s="27" t="s">
        <v>438</v>
      </c>
      <c r="B770" s="0" t="b">
        <f aca="false">IF(ISERROR('Gainsay economics · Gainsay dat'!F12&gt;0),'Gainsay economics · Gainsay dat'!F12&gt;0,IF('Gainsay economics · Gainsay dat'!F12="","",'Gainsay economics · Gainsay dat'!F12&gt;0))</f>
        <v>0</v>
      </c>
    </row>
    <row r="771" customFormat="false" ht="18" hidden="false" customHeight="false" outlineLevel="0" collapsed="false">
      <c r="A771" s="27" t="s">
        <v>438</v>
      </c>
      <c r="B771" s="0" t="b">
        <f aca="false">IF(IFERROR(DATE(2027,2,1)&gt;=DATE(2026,10,1)=FALSE(),FALSE()),FALSE(),IF(IFERROR(DATE(2027,2,1)&lt;=DATE(2027,12,1)=FALSE(),FALSE()),FALSE(),IF(IFERROR('Model inputs'!B770=FALSE(),FALSE()),FALSE(),IF('Model inputs'!B770="","",AND(DATE(2027,2,1)&gt;=DATE(2026,10,1),DATE(2027,2,1)&lt;=DATE(2027,12,1),'Model inputs'!B770)))))</f>
        <v>0</v>
      </c>
    </row>
    <row r="772" customFormat="false" ht="18" hidden="false" customHeight="false" outlineLevel="0" collapsed="false">
      <c r="A772" s="27" t="s">
        <v>438</v>
      </c>
      <c r="B772" s="0" t="b">
        <f aca="false">IF(ISERROR('Gainsay economics · Gainsay dat'!G12&gt;0),'Gainsay economics · Gainsay dat'!G12&gt;0,IF('Gainsay economics · Gainsay dat'!G12="","",'Gainsay economics · Gainsay dat'!G12&gt;0))</f>
        <v>0</v>
      </c>
    </row>
    <row r="773" customFormat="false" ht="18" hidden="false" customHeight="false" outlineLevel="0" collapsed="false">
      <c r="A773" s="27" t="s">
        <v>438</v>
      </c>
      <c r="B773" s="0" t="b">
        <f aca="false">IF(IFERROR(DATE(2027,3,1)&gt;=DATE(2026,10,1)=FALSE(),FALSE()),FALSE(),IF(IFERROR(DATE(2027,3,1)&lt;=DATE(2027,12,1)=FALSE(),FALSE()),FALSE(),IF(IFERROR('Model inputs'!B772=FALSE(),FALSE()),FALSE(),IF('Model inputs'!B772="","",AND(DATE(2027,3,1)&gt;=DATE(2026,10,1),DATE(2027,3,1)&lt;=DATE(2027,12,1),'Model inputs'!B772)))))</f>
        <v>0</v>
      </c>
    </row>
    <row r="774" customFormat="false" ht="18" hidden="false" customHeight="false" outlineLevel="0" collapsed="false">
      <c r="A774" s="27" t="s">
        <v>438</v>
      </c>
      <c r="B774" s="0" t="b">
        <f aca="false">IF(ISERROR('Gainsay economics · Gainsay dat'!H12&gt;0),'Gainsay economics · Gainsay dat'!H12&gt;0,IF('Gainsay economics · Gainsay dat'!H12="","",'Gainsay economics · Gainsay dat'!H12&gt;0))</f>
        <v>0</v>
      </c>
    </row>
    <row r="775" customFormat="false" ht="18" hidden="false" customHeight="false" outlineLevel="0" collapsed="false">
      <c r="A775" s="27" t="s">
        <v>438</v>
      </c>
      <c r="B775" s="0" t="b">
        <f aca="false">IF(IFERROR(DATE(2027,4,1)&gt;=DATE(2026,10,1)=FALSE(),FALSE()),FALSE(),IF(IFERROR(DATE(2027,4,1)&lt;=DATE(2027,12,1)=FALSE(),FALSE()),FALSE(),IF(IFERROR('Model inputs'!B774=FALSE(),FALSE()),FALSE(),IF('Model inputs'!B774="","",AND(DATE(2027,4,1)&gt;=DATE(2026,10,1),DATE(2027,4,1)&lt;=DATE(2027,12,1),'Model inputs'!B774)))))</f>
        <v>0</v>
      </c>
    </row>
    <row r="776" customFormat="false" ht="18" hidden="false" customHeight="false" outlineLevel="0" collapsed="false">
      <c r="A776" s="27" t="s">
        <v>438</v>
      </c>
      <c r="B776" s="0" t="b">
        <f aca="false">IF(ISERROR('Gainsay economics · Gainsay dat'!I12&gt;0),'Gainsay economics · Gainsay dat'!I12&gt;0,IF('Gainsay economics · Gainsay dat'!I12="","",'Gainsay economics · Gainsay dat'!I12&gt;0))</f>
        <v>0</v>
      </c>
    </row>
    <row r="777" customFormat="false" ht="18" hidden="false" customHeight="false" outlineLevel="0" collapsed="false">
      <c r="A777" s="27" t="s">
        <v>438</v>
      </c>
      <c r="B777" s="0" t="b">
        <f aca="false">IF(IFERROR(DATE(2027,5,1)&gt;=DATE(2026,10,1)=FALSE(),FALSE()),FALSE(),IF(IFERROR(DATE(2027,5,1)&lt;=DATE(2027,12,1)=FALSE(),FALSE()),FALSE(),IF(IFERROR('Model inputs'!B776=FALSE(),FALSE()),FALSE(),IF('Model inputs'!B776="","",AND(DATE(2027,5,1)&gt;=DATE(2026,10,1),DATE(2027,5,1)&lt;=DATE(2027,12,1),'Model inputs'!B776)))))</f>
        <v>0</v>
      </c>
    </row>
    <row r="778" customFormat="false" ht="18" hidden="false" customHeight="false" outlineLevel="0" collapsed="false">
      <c r="A778" s="27" t="s">
        <v>438</v>
      </c>
      <c r="B778" s="0" t="b">
        <f aca="false">IF(ISERROR('Gainsay economics · Gainsay dat'!J12&gt;0),'Gainsay economics · Gainsay dat'!J12&gt;0,IF('Gainsay economics · Gainsay dat'!J12="","",'Gainsay economics · Gainsay dat'!J12&gt;0))</f>
        <v>0</v>
      </c>
    </row>
    <row r="779" customFormat="false" ht="18" hidden="false" customHeight="false" outlineLevel="0" collapsed="false">
      <c r="A779" s="27" t="s">
        <v>438</v>
      </c>
      <c r="B779" s="0" t="b">
        <f aca="false">IF(IFERROR(DATE(2027,6,1)&gt;=DATE(2026,10,1)=FALSE(),FALSE()),FALSE(),IF(IFERROR(DATE(2027,6,1)&lt;=DATE(2027,12,1)=FALSE(),FALSE()),FALSE(),IF(IFERROR('Model inputs'!B778=FALSE(),FALSE()),FALSE(),IF('Model inputs'!B778="","",AND(DATE(2027,6,1)&gt;=DATE(2026,10,1),DATE(2027,6,1)&lt;=DATE(2027,12,1),'Model inputs'!B778)))))</f>
        <v>0</v>
      </c>
    </row>
    <row r="780" customFormat="false" ht="18" hidden="false" customHeight="false" outlineLevel="0" collapsed="false">
      <c r="A780" s="27" t="s">
        <v>438</v>
      </c>
      <c r="B780" s="0" t="b">
        <f aca="false">IF(ISERROR('Gainsay economics · Gainsay dat'!K12&gt;0),'Gainsay economics · Gainsay dat'!K12&gt;0,IF('Gainsay economics · Gainsay dat'!K12="","",'Gainsay economics · Gainsay dat'!K12&gt;0))</f>
        <v>0</v>
      </c>
    </row>
    <row r="781" customFormat="false" ht="18" hidden="false" customHeight="false" outlineLevel="0" collapsed="false">
      <c r="A781" s="27" t="s">
        <v>438</v>
      </c>
      <c r="B781" s="0" t="b">
        <f aca="false">IF(IFERROR(DATE(2027,7,1)&gt;=DATE(2026,10,1)=FALSE(),FALSE()),FALSE(),IF(IFERROR(DATE(2027,7,1)&lt;=DATE(2027,12,1)=FALSE(),FALSE()),FALSE(),IF(IFERROR('Model inputs'!B780=FALSE(),FALSE()),FALSE(),IF('Model inputs'!B780="","",AND(DATE(2027,7,1)&gt;=DATE(2026,10,1),DATE(2027,7,1)&lt;=DATE(2027,12,1),'Model inputs'!B780)))))</f>
        <v>0</v>
      </c>
    </row>
    <row r="782" customFormat="false" ht="18" hidden="false" customHeight="false" outlineLevel="0" collapsed="false">
      <c r="A782" s="27" t="s">
        <v>438</v>
      </c>
      <c r="B782" s="0" t="b">
        <f aca="false">IF(ISERROR('Gainsay economics · Gainsay dat'!L12&gt;0),'Gainsay economics · Gainsay dat'!L12&gt;0,IF('Gainsay economics · Gainsay dat'!L12="","",'Gainsay economics · Gainsay dat'!L12&gt;0))</f>
        <v>1</v>
      </c>
    </row>
    <row r="783" customFormat="false" ht="18" hidden="false" customHeight="false" outlineLevel="0" collapsed="false">
      <c r="A783" s="27" t="s">
        <v>438</v>
      </c>
      <c r="B783" s="0" t="b">
        <f aca="false">IF(IFERROR(DATE(2027,8,1)&gt;=DATE(2026,10,1)=FALSE(),FALSE()),FALSE(),IF(IFERROR(DATE(2027,8,1)&lt;=DATE(2027,12,1)=FALSE(),FALSE()),FALSE(),IF(IFERROR('Model inputs'!B782=FALSE(),FALSE()),FALSE(),IF('Model inputs'!B782="","",AND(DATE(2027,8,1)&gt;=DATE(2026,10,1),DATE(2027,8,1)&lt;=DATE(2027,12,1),'Model inputs'!B782)))))</f>
        <v>1</v>
      </c>
    </row>
    <row r="784" customFormat="false" ht="18" hidden="false" customHeight="false" outlineLevel="0" collapsed="false">
      <c r="A784" s="27" t="s">
        <v>438</v>
      </c>
      <c r="B784" s="0" t="b">
        <f aca="false">IF(ISERROR('Gainsay economics · Gainsay dat'!M12&gt;0),'Gainsay economics · Gainsay dat'!M12&gt;0,IF('Gainsay economics · Gainsay dat'!M12="","",'Gainsay economics · Gainsay dat'!M12&gt;0))</f>
        <v>1</v>
      </c>
    </row>
    <row r="785" customFormat="false" ht="18" hidden="false" customHeight="false" outlineLevel="0" collapsed="false">
      <c r="A785" s="27" t="s">
        <v>438</v>
      </c>
      <c r="B785" s="0" t="b">
        <f aca="false">IF(IFERROR(DATE(2027,9,1)&gt;=DATE(2026,10,1)=FALSE(),FALSE()),FALSE(),IF(IFERROR(DATE(2027,9,1)&lt;=DATE(2027,12,1)=FALSE(),FALSE()),FALSE(),IF(IFERROR('Model inputs'!B784=FALSE(),FALSE()),FALSE(),IF('Model inputs'!B784="","",AND(DATE(2027,9,1)&gt;=DATE(2026,10,1),DATE(2027,9,1)&lt;=DATE(2027,12,1),'Model inputs'!B784)))))</f>
        <v>1</v>
      </c>
    </row>
    <row r="786" customFormat="false" ht="18" hidden="false" customHeight="false" outlineLevel="0" collapsed="false">
      <c r="A786" s="27" t="s">
        <v>438</v>
      </c>
      <c r="B786" s="0" t="b">
        <f aca="false">IF(ISERROR('Gainsay economics · Gainsay dat'!N12&gt;0),'Gainsay economics · Gainsay dat'!N12&gt;0,IF('Gainsay economics · Gainsay dat'!N12="","",'Gainsay economics · Gainsay dat'!N12&gt;0))</f>
        <v>1</v>
      </c>
    </row>
    <row r="787" customFormat="false" ht="18" hidden="false" customHeight="false" outlineLevel="0" collapsed="false">
      <c r="A787" s="27" t="s">
        <v>438</v>
      </c>
      <c r="B787" s="0" t="b">
        <f aca="false">IF(IFERROR(DATE(2027,10,1)&gt;=DATE(2026,10,1)=FALSE(),FALSE()),FALSE(),IF(IFERROR(DATE(2027,10,1)&lt;=DATE(2027,12,1)=FALSE(),FALSE()),FALSE(),IF(IFERROR('Model inputs'!B786=FALSE(),FALSE()),FALSE(),IF('Model inputs'!B786="","",AND(DATE(2027,10,1)&gt;=DATE(2026,10,1),DATE(2027,10,1)&lt;=DATE(2027,12,1),'Model inputs'!B786)))))</f>
        <v>1</v>
      </c>
    </row>
    <row r="788" customFormat="false" ht="18" hidden="false" customHeight="false" outlineLevel="0" collapsed="false">
      <c r="A788" s="27" t="s">
        <v>438</v>
      </c>
      <c r="B788" s="0" t="b">
        <f aca="false">IF(ISERROR('Gainsay economics · Gainsay dat'!O12&gt;0),'Gainsay economics · Gainsay dat'!O12&gt;0,IF('Gainsay economics · Gainsay dat'!O12="","",'Gainsay economics · Gainsay dat'!O12&gt;0))</f>
        <v>1</v>
      </c>
    </row>
    <row r="789" customFormat="false" ht="18" hidden="false" customHeight="false" outlineLevel="0" collapsed="false">
      <c r="A789" s="27" t="s">
        <v>438</v>
      </c>
      <c r="B789" s="0" t="b">
        <f aca="false">IF(IFERROR(DATE(2027,11,1)&gt;=DATE(2026,10,1)=FALSE(),FALSE()),FALSE(),IF(IFERROR(DATE(2027,11,1)&lt;=DATE(2027,12,1)=FALSE(),FALSE()),FALSE(),IF(IFERROR('Model inputs'!B788=FALSE(),FALSE()),FALSE(),IF('Model inputs'!B788="","",AND(DATE(2027,11,1)&gt;=DATE(2026,10,1),DATE(2027,11,1)&lt;=DATE(2027,12,1),'Model inputs'!B788)))))</f>
        <v>1</v>
      </c>
    </row>
    <row r="790" customFormat="false" ht="18" hidden="false" customHeight="false" outlineLevel="0" collapsed="false">
      <c r="A790" s="27" t="s">
        <v>438</v>
      </c>
      <c r="B790" s="0" t="b">
        <f aca="false">IF(ISERROR('Gainsay economics · Gainsay dat'!P12&gt;0),'Gainsay economics · Gainsay dat'!P12&gt;0,IF('Gainsay economics · Gainsay dat'!P12="","",'Gainsay economics · Gainsay dat'!P12&gt;0))</f>
        <v>1</v>
      </c>
    </row>
    <row r="791" customFormat="false" ht="18" hidden="false" customHeight="false" outlineLevel="0" collapsed="false">
      <c r="A791" s="27" t="s">
        <v>438</v>
      </c>
      <c r="B791" s="0" t="b">
        <f aca="false">IF(IFERROR(DATE(2027,12,1)&gt;=DATE(2026,10,1)=FALSE(),FALSE()),FALSE(),IF(IFERROR(DATE(2027,12,1)&lt;=DATE(2027,12,1)=FALSE(),FALSE()),FALSE(),IF(IFERROR('Model inputs'!B790=FALSE(),FALSE()),FALSE(),IF('Model inputs'!B790="","",AND(DATE(2027,12,1)&gt;=DATE(2026,10,1),DATE(2027,12,1)&lt;=DATE(2027,12,1),'Model inputs'!B790)))))</f>
        <v>1</v>
      </c>
    </row>
    <row r="792" customFormat="false" ht="18" hidden="false" customHeight="false" outlineLevel="0" collapsed="false">
      <c r="A792" s="27" t="s">
        <v>438</v>
      </c>
      <c r="B792" s="0" t="b">
        <f aca="false">IF(IFERROR(DATE(2026,1,1)&gt;=DATE(2026,10,1)=FALSE(),FALSE()),FALSE(),IF(IFERROR(DATE(2026,1,1)&lt;=DATE(2027,12,1)=FALSE(),FALSE()),FALSE(),IF(IFERROR(IF(ISERROR('Model inputs'!B47&gt;0),'Model inputs'!B47&gt;0,IF('Model inputs'!B47="","",'Model inputs'!B47&gt;0))=FALSE(),FALSE()),FALSE(),IF(IF(ISERROR('Model inputs'!B47&gt;0),'Model inputs'!B47&gt;0,IF('Model inputs'!B47="","",'Model inputs'!B47&gt;0))="","",AND(DATE(2026,1,1)&gt;=DATE(2026,10,1),DATE(2026,1,1)&lt;=DATE(2027,12,1),IF(ISERROR('Model inputs'!B47&gt;0),'Model inputs'!B47&gt;0,IF('Model inputs'!B47="","",'Model inputs'!B47&gt;0)))))))</f>
        <v>0</v>
      </c>
    </row>
    <row r="793" customFormat="false" ht="18" hidden="false" customHeight="false" outlineLevel="0" collapsed="false">
      <c r="A793" s="27" t="s">
        <v>438</v>
      </c>
      <c r="B793" s="0" t="b">
        <f aca="false">IF(IFERROR(DATE(2026,2,1)&gt;=DATE(2026,10,1)=FALSE(),FALSE()),FALSE(),IF(IFERROR(DATE(2026,2,1)&lt;=DATE(2027,12,1)=FALSE(),FALSE()),FALSE(),IF(IFERROR(IF(ISERROR('Model inputs'!C47&gt;0),'Model inputs'!C47&gt;0,IF('Model inputs'!C47="","",'Model inputs'!C47&gt;0))=FALSE(),FALSE()),FALSE(),IF(IF(ISERROR('Model inputs'!C47&gt;0),'Model inputs'!C47&gt;0,IF('Model inputs'!C47="","",'Model inputs'!C47&gt;0))="","",AND(DATE(2026,2,1)&gt;=DATE(2026,10,1),DATE(2026,2,1)&lt;=DATE(2027,12,1),IF(ISERROR('Model inputs'!C47&gt;0),'Model inputs'!C47&gt;0,IF('Model inputs'!C47="","",'Model inputs'!C47&gt;0)))))))</f>
        <v>0</v>
      </c>
    </row>
    <row r="794" customFormat="false" ht="18" hidden="false" customHeight="false" outlineLevel="0" collapsed="false">
      <c r="A794" s="27" t="s">
        <v>438</v>
      </c>
      <c r="B794" s="0" t="b">
        <f aca="false">IF(IFERROR(DATE(2026,3,1)&gt;=DATE(2026,10,1)=FALSE(),FALSE()),FALSE(),IF(IFERROR(DATE(2026,3,1)&lt;=DATE(2027,12,1)=FALSE(),FALSE()),FALSE(),IF(IFERROR(IF(ISERROR('Model inputs'!D47&gt;0),'Model inputs'!D47&gt;0,IF('Model inputs'!D47="","",'Model inputs'!D47&gt;0))=FALSE(),FALSE()),FALSE(),IF(IF(ISERROR('Model inputs'!D47&gt;0),'Model inputs'!D47&gt;0,IF('Model inputs'!D47="","",'Model inputs'!D47&gt;0))="","",AND(DATE(2026,3,1)&gt;=DATE(2026,10,1),DATE(2026,3,1)&lt;=DATE(2027,12,1),IF(ISERROR('Model inputs'!D47&gt;0),'Model inputs'!D47&gt;0,IF('Model inputs'!D47="","",'Model inputs'!D47&gt;0)))))))</f>
        <v>0</v>
      </c>
    </row>
    <row r="795" customFormat="false" ht="18" hidden="false" customHeight="false" outlineLevel="0" collapsed="false">
      <c r="A795" s="27" t="s">
        <v>438</v>
      </c>
      <c r="B795" s="0" t="b">
        <f aca="false">IF(IFERROR(DATE(2026,4,1)&gt;=DATE(2026,10,1)=FALSE(),FALSE()),FALSE(),IF(IFERROR(DATE(2026,4,1)&lt;=DATE(2027,12,1)=FALSE(),FALSE()),FALSE(),IF(IFERROR(IF(ISERROR('Model inputs'!E47&gt;0),'Model inputs'!E47&gt;0,IF('Model inputs'!E47="","",'Model inputs'!E47&gt;0))=FALSE(),FALSE()),FALSE(),IF(IF(ISERROR('Model inputs'!E47&gt;0),'Model inputs'!E47&gt;0,IF('Model inputs'!E47="","",'Model inputs'!E47&gt;0))="","",AND(DATE(2026,4,1)&gt;=DATE(2026,10,1),DATE(2026,4,1)&lt;=DATE(2027,12,1),IF(ISERROR('Model inputs'!E47&gt;0),'Model inputs'!E47&gt;0,IF('Model inputs'!E47="","",'Model inputs'!E47&gt;0)))))))</f>
        <v>0</v>
      </c>
    </row>
    <row r="796" customFormat="false" ht="18" hidden="false" customHeight="false" outlineLevel="0" collapsed="false">
      <c r="A796" s="27" t="s">
        <v>438</v>
      </c>
      <c r="B796" s="0" t="b">
        <f aca="false">IF(IFERROR(DATE(2026,5,1)&gt;=DATE(2026,10,1)=FALSE(),FALSE()),FALSE(),IF(IFERROR(DATE(2026,5,1)&lt;=DATE(2027,12,1)=FALSE(),FALSE()),FALSE(),IF(IFERROR(IF(ISERROR('Model inputs'!F47&gt;0),'Model inputs'!F47&gt;0,IF('Model inputs'!F47="","",'Model inputs'!F47&gt;0))=FALSE(),FALSE()),FALSE(),IF(IF(ISERROR('Model inputs'!F47&gt;0),'Model inputs'!F47&gt;0,IF('Model inputs'!F47="","",'Model inputs'!F47&gt;0))="","",AND(DATE(2026,5,1)&gt;=DATE(2026,10,1),DATE(2026,5,1)&lt;=DATE(2027,12,1),IF(ISERROR('Model inputs'!F47&gt;0),'Model inputs'!F47&gt;0,IF('Model inputs'!F47="","",'Model inputs'!F47&gt;0)))))))</f>
        <v>0</v>
      </c>
    </row>
    <row r="797" customFormat="false" ht="18" hidden="false" customHeight="false" outlineLevel="0" collapsed="false">
      <c r="A797" s="27" t="s">
        <v>438</v>
      </c>
      <c r="B797" s="0" t="b">
        <f aca="false">IF(IFERROR(DATE(2026,6,1)&gt;=DATE(2026,10,1)=FALSE(),FALSE()),FALSE(),IF(IFERROR(DATE(2026,6,1)&lt;=DATE(2027,12,1)=FALSE(),FALSE()),FALSE(),IF(IFERROR(IF(ISERROR('Model inputs'!G47&gt;0),'Model inputs'!G47&gt;0,IF('Model inputs'!G47="","",'Model inputs'!G47&gt;0))=FALSE(),FALSE()),FALSE(),IF(IF(ISERROR('Model inputs'!G47&gt;0),'Model inputs'!G47&gt;0,IF('Model inputs'!G47="","",'Model inputs'!G47&gt;0))="","",AND(DATE(2026,6,1)&gt;=DATE(2026,10,1),DATE(2026,6,1)&lt;=DATE(2027,12,1),IF(ISERROR('Model inputs'!G47&gt;0),'Model inputs'!G47&gt;0,IF('Model inputs'!G47="","",'Model inputs'!G47&gt;0)))))))</f>
        <v>0</v>
      </c>
    </row>
    <row r="798" customFormat="false" ht="18" hidden="false" customHeight="false" outlineLevel="0" collapsed="false">
      <c r="A798" s="27" t="s">
        <v>438</v>
      </c>
      <c r="B798" s="0" t="b">
        <f aca="false">IF(IFERROR(DATE(2026,7,1)&gt;=DATE(2026,10,1)=FALSE(),FALSE()),FALSE(),IF(IFERROR(DATE(2026,7,1)&lt;=DATE(2027,12,1)=FALSE(),FALSE()),FALSE(),IF(IFERROR(IF(ISERROR('Model inputs'!H47&gt;0),'Model inputs'!H47&gt;0,IF('Model inputs'!H47="","",'Model inputs'!H47&gt;0))=FALSE(),FALSE()),FALSE(),IF(IF(ISERROR('Model inputs'!H47&gt;0),'Model inputs'!H47&gt;0,IF('Model inputs'!H47="","",'Model inputs'!H47&gt;0))="","",AND(DATE(2026,7,1)&gt;=DATE(2026,10,1),DATE(2026,7,1)&lt;=DATE(2027,12,1),IF(ISERROR('Model inputs'!H47&gt;0),'Model inputs'!H47&gt;0,IF('Model inputs'!H47="","",'Model inputs'!H47&gt;0)))))))</f>
        <v>0</v>
      </c>
    </row>
    <row r="799" customFormat="false" ht="18" hidden="false" customHeight="false" outlineLevel="0" collapsed="false">
      <c r="A799" s="27" t="s">
        <v>438</v>
      </c>
      <c r="B799" s="0" t="b">
        <f aca="false">IF(IFERROR(DATE(2026,8,1)&gt;=DATE(2026,10,1)=FALSE(),FALSE()),FALSE(),IF(IFERROR(DATE(2026,8,1)&lt;=DATE(2027,12,1)=FALSE(),FALSE()),FALSE(),IF(IFERROR(IF(ISERROR('Model inputs'!I47&gt;0),'Model inputs'!I47&gt;0,IF('Model inputs'!I47="","",'Model inputs'!I47&gt;0))=FALSE(),FALSE()),FALSE(),IF(IF(ISERROR('Model inputs'!I47&gt;0),'Model inputs'!I47&gt;0,IF('Model inputs'!I47="","",'Model inputs'!I47&gt;0))="","",AND(DATE(2026,8,1)&gt;=DATE(2026,10,1),DATE(2026,8,1)&lt;=DATE(2027,12,1),IF(ISERROR('Model inputs'!I47&gt;0),'Model inputs'!I47&gt;0,IF('Model inputs'!I47="","",'Model inputs'!I47&gt;0)))))))</f>
        <v>0</v>
      </c>
    </row>
    <row r="800" customFormat="false" ht="18" hidden="false" customHeight="false" outlineLevel="0" collapsed="false">
      <c r="A800" s="27" t="s">
        <v>438</v>
      </c>
      <c r="B800" s="0" t="b">
        <f aca="false">IF(IFERROR(DATE(2026,9,1)&gt;=DATE(2026,10,1)=FALSE(),FALSE()),FALSE(),IF(IFERROR(DATE(2026,9,1)&lt;=DATE(2027,12,1)=FALSE(),FALSE()),FALSE(),IF(IFERROR(IF(ISERROR('Model inputs'!J47&gt;0),'Model inputs'!J47&gt;0,IF('Model inputs'!J47="","",'Model inputs'!J47&gt;0))=FALSE(),FALSE()),FALSE(),IF(IF(ISERROR('Model inputs'!J47&gt;0),'Model inputs'!J47&gt;0,IF('Model inputs'!J47="","",'Model inputs'!J47&gt;0))="","",AND(DATE(2026,9,1)&gt;=DATE(2026,10,1),DATE(2026,9,1)&lt;=DATE(2027,12,1),IF(ISERROR('Model inputs'!J47&gt;0),'Model inputs'!J47&gt;0,IF('Model inputs'!J47="","",'Model inputs'!J47&gt;0)))))))</f>
        <v>0</v>
      </c>
    </row>
    <row r="801" customFormat="false" ht="18" hidden="false" customHeight="false" outlineLevel="0" collapsed="false">
      <c r="A801" s="27" t="s">
        <v>438</v>
      </c>
      <c r="B801" s="0" t="str">
        <f aca="false">IF(IF('Model inputs'!B763="",FALSE(),'Model inputs'!B763),'Gainsay economics · Gainsay ope'!B42,"")</f>
        <v/>
      </c>
    </row>
    <row r="802" customFormat="false" ht="18" hidden="false" customHeight="false" outlineLevel="0" collapsed="false">
      <c r="A802" s="27" t="s">
        <v>438</v>
      </c>
      <c r="B802" s="0" t="str">
        <f aca="false">IF(IF('Model inputs'!B765="",FALSE(),'Model inputs'!B765),'Gainsay economics · Gainsay ope'!C42,"")</f>
        <v/>
      </c>
    </row>
    <row r="803" customFormat="false" ht="18" hidden="false" customHeight="false" outlineLevel="0" collapsed="false">
      <c r="A803" s="27" t="s">
        <v>438</v>
      </c>
      <c r="B803" s="0" t="str">
        <f aca="false">IF(IF('Model inputs'!B767="",FALSE(),'Model inputs'!B767),'Gainsay economics · Gainsay ope'!D42,"")</f>
        <v/>
      </c>
    </row>
    <row r="804" customFormat="false" ht="18" hidden="false" customHeight="false" outlineLevel="0" collapsed="false">
      <c r="A804" s="27" t="s">
        <v>438</v>
      </c>
      <c r="B804" s="0" t="str">
        <f aca="false">IF(IF('Model inputs'!B769="",FALSE(),'Model inputs'!B769),'Gainsay economics · Gainsay ope'!E42,"")</f>
        <v/>
      </c>
    </row>
    <row r="805" customFormat="false" ht="18" hidden="false" customHeight="false" outlineLevel="0" collapsed="false">
      <c r="A805" s="27" t="s">
        <v>438</v>
      </c>
      <c r="B805" s="0" t="str">
        <f aca="false">IF(IF('Model inputs'!B771="",FALSE(),'Model inputs'!B771),'Gainsay economics · Gainsay ope'!F42,"")</f>
        <v/>
      </c>
    </row>
    <row r="806" customFormat="false" ht="18" hidden="false" customHeight="false" outlineLevel="0" collapsed="false">
      <c r="A806" s="27" t="s">
        <v>438</v>
      </c>
      <c r="B806" s="0" t="str">
        <f aca="false">IF(IF('Model inputs'!B773="",FALSE(),'Model inputs'!B773),'Gainsay economics · Gainsay ope'!G42,"")</f>
        <v/>
      </c>
    </row>
    <row r="807" customFormat="false" ht="18" hidden="false" customHeight="false" outlineLevel="0" collapsed="false">
      <c r="A807" s="27" t="s">
        <v>438</v>
      </c>
      <c r="B807" s="0" t="str">
        <f aca="false">IF(IF('Model inputs'!B775="",FALSE(),'Model inputs'!B775),'Gainsay economics · Gainsay ope'!H42,"")</f>
        <v/>
      </c>
    </row>
    <row r="808" customFormat="false" ht="18" hidden="false" customHeight="false" outlineLevel="0" collapsed="false">
      <c r="A808" s="27" t="s">
        <v>438</v>
      </c>
      <c r="B808" s="0" t="str">
        <f aca="false">IF(IF('Model inputs'!B777="",FALSE(),'Model inputs'!B777),'Gainsay economics · Gainsay ope'!I42,"")</f>
        <v/>
      </c>
    </row>
    <row r="809" customFormat="false" ht="18" hidden="false" customHeight="false" outlineLevel="0" collapsed="false">
      <c r="A809" s="27" t="s">
        <v>438</v>
      </c>
      <c r="B809" s="0" t="str">
        <f aca="false">IF(IF('Model inputs'!B779="",FALSE(),'Model inputs'!B779),'Gainsay economics · Gainsay ope'!J42,"")</f>
        <v/>
      </c>
    </row>
    <row r="810" customFormat="false" ht="18" hidden="false" customHeight="false" outlineLevel="0" collapsed="false">
      <c r="A810" s="27" t="s">
        <v>438</v>
      </c>
      <c r="B810" s="0" t="str">
        <f aca="false">IF(IF('Model inputs'!B781="",FALSE(),'Model inputs'!B781),'Gainsay economics · Gainsay ope'!K42,"")</f>
        <v/>
      </c>
    </row>
    <row r="811" customFormat="false" ht="18" hidden="false" customHeight="false" outlineLevel="0" collapsed="false">
      <c r="A811" s="27" t="s">
        <v>438</v>
      </c>
      <c r="B811" s="0" t="n">
        <f aca="false">IF(IF('Model inputs'!B783="",FALSE(),'Model inputs'!B783),'Gainsay economics · Gainsay ope'!L42,"")</f>
        <v>11</v>
      </c>
    </row>
    <row r="812" customFormat="false" ht="18" hidden="false" customHeight="false" outlineLevel="0" collapsed="false">
      <c r="A812" s="27" t="s">
        <v>438</v>
      </c>
      <c r="B812" s="0" t="n">
        <f aca="false">IF(IF('Model inputs'!B785="",FALSE(),'Model inputs'!B785),'Gainsay economics · Gainsay ope'!M42,"")</f>
        <v>12</v>
      </c>
    </row>
    <row r="813" customFormat="false" ht="18" hidden="false" customHeight="false" outlineLevel="0" collapsed="false">
      <c r="A813" s="27" t="s">
        <v>438</v>
      </c>
      <c r="B813" s="0" t="n">
        <f aca="false">IF(IF('Model inputs'!B787="",FALSE(),'Model inputs'!B787),'Gainsay economics · Gainsay ope'!N42,"")</f>
        <v>13</v>
      </c>
    </row>
    <row r="814" customFormat="false" ht="18" hidden="false" customHeight="false" outlineLevel="0" collapsed="false">
      <c r="A814" s="27" t="s">
        <v>438</v>
      </c>
      <c r="B814" s="0" t="n">
        <f aca="false">IF(IF('Model inputs'!B789="",FALSE(),'Model inputs'!B789),'Gainsay economics · Gainsay ope'!O42,"")</f>
        <v>14</v>
      </c>
    </row>
    <row r="815" customFormat="false" ht="18" hidden="false" customHeight="false" outlineLevel="0" collapsed="false">
      <c r="A815" s="27" t="s">
        <v>438</v>
      </c>
      <c r="B815" s="0" t="n">
        <f aca="false">IF(IF('Model inputs'!B791="",FALSE(),'Model inputs'!B791),'Gainsay economics · Gainsay ope'!P42,"")</f>
        <v>15</v>
      </c>
    </row>
    <row r="816" customFormat="false" ht="18" hidden="false" customHeight="false" outlineLevel="0" collapsed="false">
      <c r="A816" s="27" t="s">
        <v>438</v>
      </c>
      <c r="B816" s="0" t="str">
        <f aca="false">IF(IF('Model inputs'!B792="",FALSE(),'Model inputs'!B792),'Model inputs'!B97,"")</f>
        <v/>
      </c>
    </row>
    <row r="817" customFormat="false" ht="18" hidden="false" customHeight="false" outlineLevel="0" collapsed="false">
      <c r="A817" s="27" t="s">
        <v>438</v>
      </c>
      <c r="B817" s="0" t="str">
        <f aca="false">IF(IF('Model inputs'!B793="",FALSE(),'Model inputs'!B793),'Model inputs'!C97,"")</f>
        <v/>
      </c>
    </row>
    <row r="818" customFormat="false" ht="18" hidden="false" customHeight="false" outlineLevel="0" collapsed="false">
      <c r="A818" s="27" t="s">
        <v>438</v>
      </c>
      <c r="B818" s="0" t="str">
        <f aca="false">IF(IF('Model inputs'!B794="",FALSE(),'Model inputs'!B794),'Model inputs'!D97,"")</f>
        <v/>
      </c>
    </row>
    <row r="819" customFormat="false" ht="18" hidden="false" customHeight="false" outlineLevel="0" collapsed="false">
      <c r="A819" s="27" t="s">
        <v>438</v>
      </c>
      <c r="B819" s="0" t="str">
        <f aca="false">IF(IF('Model inputs'!B795="",FALSE(),'Model inputs'!B795),'Model inputs'!E97,"")</f>
        <v/>
      </c>
    </row>
    <row r="820" customFormat="false" ht="18" hidden="false" customHeight="false" outlineLevel="0" collapsed="false">
      <c r="A820" s="27" t="s">
        <v>438</v>
      </c>
      <c r="B820" s="0" t="str">
        <f aca="false">IF(IF('Model inputs'!B796="",FALSE(),'Model inputs'!B796),'Model inputs'!F97,"")</f>
        <v/>
      </c>
    </row>
    <row r="821" customFormat="false" ht="18" hidden="false" customHeight="false" outlineLevel="0" collapsed="false">
      <c r="A821" s="27" t="s">
        <v>438</v>
      </c>
      <c r="B821" s="0" t="str">
        <f aca="false">IF(IF('Model inputs'!B797="",FALSE(),'Model inputs'!B797),'Model inputs'!G97,"")</f>
        <v/>
      </c>
    </row>
    <row r="822" customFormat="false" ht="18" hidden="false" customHeight="false" outlineLevel="0" collapsed="false">
      <c r="A822" s="27" t="s">
        <v>438</v>
      </c>
      <c r="B822" s="0" t="str">
        <f aca="false">IF(IF('Model inputs'!B798="",FALSE(),'Model inputs'!B798),'Model inputs'!H97,"")</f>
        <v/>
      </c>
    </row>
    <row r="823" customFormat="false" ht="18" hidden="false" customHeight="false" outlineLevel="0" collapsed="false">
      <c r="A823" s="27" t="s">
        <v>438</v>
      </c>
      <c r="B823" s="0" t="str">
        <f aca="false">IF(IF('Model inputs'!B799="",FALSE(),'Model inputs'!B799),'Model inputs'!I97,"")</f>
        <v/>
      </c>
    </row>
    <row r="824" customFormat="false" ht="18" hidden="false" customHeight="false" outlineLevel="0" collapsed="false">
      <c r="A824" s="27" t="s">
        <v>438</v>
      </c>
      <c r="B824" s="0" t="str">
        <f aca="false">IF(IF('Model inputs'!B800="",FALSE(),'Model inputs'!B800),'Model inputs'!J97,"")</f>
        <v/>
      </c>
    </row>
    <row r="825" customFormat="false" ht="18" hidden="false" customHeight="false" outlineLevel="0" collapsed="false">
      <c r="A825" s="27" t="s">
        <v>438</v>
      </c>
      <c r="B825" s="0" t="n">
        <f aca="false">(IF(AND('Model inputs'!B801="",'Model inputs'!B802="",'Model inputs'!B803="",'Model inputs'!B804="",'Model inputs'!B805="",'Model inputs'!B806="",'Model inputs'!B807="",'Model inputs'!B808="",'Model inputs'!B809="",'Model inputs'!B810="",'Model inputs'!B811="",'Model inputs'!B812="",'Model inputs'!B813="",'Model inputs'!B814="",'Model inputs'!B815="",'Model inputs'!B816="",'Model inputs'!B817="",'Model inputs'!B818="",'Model inputs'!B819="",'Model inputs'!B820="",'Model inputs'!B821="",'Model inputs'!B822="",'Model inputs'!B823="",'Model inputs'!B824=""),"",MIN('Model inputs'!B801,'Model inputs'!B802,'Model inputs'!B803,'Model inputs'!B804,'Model inputs'!B805,'Model inputs'!B806,'Model inputs'!B807,'Model inputs'!B808,'Model inputs'!B809,'Model inputs'!B810,'Model inputs'!B811,'Model inputs'!B812,'Model inputs'!B813,'Model inputs'!B814,'Model inputs'!B815,'Model inputs'!B816,'Model inputs'!B817,'Model inputs'!B818,'Model inputs'!B819,'Model inputs'!B820,'Model inputs'!B821,'Model inputs'!B822,'Model inputs'!B823,'Model inputs'!B824)))</f>
        <v>11</v>
      </c>
    </row>
    <row r="826" customFormat="false" ht="18" hidden="false" customHeight="false" outlineLevel="0" collapsed="false">
      <c r="A826" s="27" t="s">
        <v>438</v>
      </c>
      <c r="B826" s="0" t="b">
        <f aca="false">IF(ISERROR('Gainsay economics · Gainsay dat'!B16=MIN('Gainsay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dat'!B16=MIN('Gainsay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dat'!B16="",MIN('Gainsay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dat'!B16=MIN('Gainsay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27" customFormat="false" ht="18" hidden="false" customHeight="false" outlineLevel="0" collapsed="false">
      <c r="A827" s="27" t="s">
        <v>438</v>
      </c>
      <c r="B827" s="0" t="b">
        <f aca="false">IF(IFERROR(DATE(2026,10,1)&gt;=DATE(2026,10,1)=FALSE(),FALSE()),FALSE(),IF(IFERROR(DATE(2026,10,1)&lt;=DATE(2027,12,1)=FALSE(),FALSE()),FALSE(),IF(IFERROR('Model inputs'!B826=FALSE(),FALSE()),FALSE(),IF('Model inputs'!B826="","",AND(DATE(2026,10,1)&gt;=DATE(2026,10,1),DATE(2026,10,1)&lt;=DATE(2027,12,1),'Model inputs'!B826)))))</f>
        <v>0</v>
      </c>
    </row>
    <row r="828" customFormat="false" ht="18" hidden="false" customHeight="false" outlineLevel="0" collapsed="false">
      <c r="A828" s="27" t="s">
        <v>438</v>
      </c>
      <c r="B828" s="0" t="b">
        <f aca="false">IF(ISERROR('Gainsay economics · Gainsay dat'!C16=MIN('Gainsay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dat'!C16=MIN('Gainsay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dat'!C16="",MIN('Gainsay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dat'!C16=MIN('Gainsay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29" customFormat="false" ht="18" hidden="false" customHeight="false" outlineLevel="0" collapsed="false">
      <c r="A829" s="27" t="s">
        <v>438</v>
      </c>
      <c r="B829" s="0" t="b">
        <f aca="false">IF(IFERROR(DATE(2026,11,1)&gt;=DATE(2026,10,1)=FALSE(),FALSE()),FALSE(),IF(IFERROR(DATE(2026,11,1)&lt;=DATE(2027,12,1)=FALSE(),FALSE()),FALSE(),IF(IFERROR('Model inputs'!B828=FALSE(),FALSE()),FALSE(),IF('Model inputs'!B828="","",AND(DATE(2026,11,1)&gt;=DATE(2026,10,1),DATE(2026,11,1)&lt;=DATE(2027,12,1),'Model inputs'!B828)))))</f>
        <v>0</v>
      </c>
    </row>
    <row r="830" customFormat="false" ht="18" hidden="false" customHeight="false" outlineLevel="0" collapsed="false">
      <c r="A830" s="27" t="s">
        <v>438</v>
      </c>
      <c r="B830" s="0" t="b">
        <f aca="false">IF(ISERROR('Gainsay economics · Gainsay dat'!D16=MIN('Gainsay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dat'!D16=MIN('Gainsay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dat'!D16="",MIN('Gainsay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dat'!D16=MIN('Gainsay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31" customFormat="false" ht="18" hidden="false" customHeight="false" outlineLevel="0" collapsed="false">
      <c r="A831" s="27" t="s">
        <v>438</v>
      </c>
      <c r="B831" s="0" t="b">
        <f aca="false">IF(IFERROR(DATE(2026,12,1)&gt;=DATE(2026,10,1)=FALSE(),FALSE()),FALSE(),IF(IFERROR(DATE(2026,12,1)&lt;=DATE(2027,12,1)=FALSE(),FALSE()),FALSE(),IF(IFERROR('Model inputs'!B830=FALSE(),FALSE()),FALSE(),IF('Model inputs'!B830="","",AND(DATE(2026,12,1)&gt;=DATE(2026,10,1),DATE(2026,12,1)&lt;=DATE(2027,12,1),'Model inputs'!B830)))))</f>
        <v>0</v>
      </c>
    </row>
    <row r="832" customFormat="false" ht="18" hidden="false" customHeight="false" outlineLevel="0" collapsed="false">
      <c r="A832" s="27" t="s">
        <v>438</v>
      </c>
      <c r="B832" s="0" t="b">
        <f aca="false">IF(ISERROR('Gainsay economics · Gainsay dat'!E16=MIN('Gainsay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dat'!E16=MIN('Gainsay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dat'!E16="",MIN('Gainsay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dat'!E16=MIN('Gainsay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33" customFormat="false" ht="18" hidden="false" customHeight="false" outlineLevel="0" collapsed="false">
      <c r="A833" s="27" t="s">
        <v>438</v>
      </c>
      <c r="B833" s="0" t="b">
        <f aca="false">IF(IFERROR(DATE(2027,1,1)&gt;=DATE(2026,10,1)=FALSE(),FALSE()),FALSE(),IF(IFERROR(DATE(2027,1,1)&lt;=DATE(2027,12,1)=FALSE(),FALSE()),FALSE(),IF(IFERROR('Model inputs'!B832=FALSE(),FALSE()),FALSE(),IF('Model inputs'!B832="","",AND(DATE(2027,1,1)&gt;=DATE(2026,10,1),DATE(2027,1,1)&lt;=DATE(2027,12,1),'Model inputs'!B832)))))</f>
        <v>0</v>
      </c>
    </row>
    <row r="834" customFormat="false" ht="18" hidden="false" customHeight="false" outlineLevel="0" collapsed="false">
      <c r="A834" s="27" t="s">
        <v>438</v>
      </c>
      <c r="B834" s="0" t="b">
        <f aca="false">IF(ISERROR('Gainsay economics · Gainsay dat'!F16=MIN('Gainsay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dat'!F16=MIN('Gainsay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dat'!F16="",MIN('Gainsay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dat'!F16=MIN('Gainsay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35" customFormat="false" ht="18" hidden="false" customHeight="false" outlineLevel="0" collapsed="false">
      <c r="A835" s="27" t="s">
        <v>438</v>
      </c>
      <c r="B835" s="0" t="b">
        <f aca="false">IF(IFERROR(DATE(2027,2,1)&gt;=DATE(2026,10,1)=FALSE(),FALSE()),FALSE(),IF(IFERROR(DATE(2027,2,1)&lt;=DATE(2027,12,1)=FALSE(),FALSE()),FALSE(),IF(IFERROR('Model inputs'!B834=FALSE(),FALSE()),FALSE(),IF('Model inputs'!B834="","",AND(DATE(2027,2,1)&gt;=DATE(2026,10,1),DATE(2027,2,1)&lt;=DATE(2027,12,1),'Model inputs'!B834)))))</f>
        <v>0</v>
      </c>
    </row>
    <row r="836" customFormat="false" ht="18" hidden="false" customHeight="false" outlineLevel="0" collapsed="false">
      <c r="A836" s="27" t="s">
        <v>438</v>
      </c>
      <c r="B836" s="0" t="b">
        <f aca="false">IF(ISERROR('Gainsay economics · Gainsay dat'!G16=MIN('Gainsay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dat'!G16=MIN('Gainsay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dat'!G16="",MIN('Gainsay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dat'!G16=MIN('Gainsay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37" customFormat="false" ht="18" hidden="false" customHeight="false" outlineLevel="0" collapsed="false">
      <c r="A837" s="27" t="s">
        <v>438</v>
      </c>
      <c r="B837" s="0" t="b">
        <f aca="false">IF(IFERROR(DATE(2027,3,1)&gt;=DATE(2026,10,1)=FALSE(),FALSE()),FALSE(),IF(IFERROR(DATE(2027,3,1)&lt;=DATE(2027,12,1)=FALSE(),FALSE()),FALSE(),IF(IFERROR('Model inputs'!B836=FALSE(),FALSE()),FALSE(),IF('Model inputs'!B836="","",AND(DATE(2027,3,1)&gt;=DATE(2026,10,1),DATE(2027,3,1)&lt;=DATE(2027,12,1),'Model inputs'!B836)))))</f>
        <v>0</v>
      </c>
    </row>
    <row r="838" customFormat="false" ht="18" hidden="false" customHeight="false" outlineLevel="0" collapsed="false">
      <c r="A838" s="27" t="s">
        <v>438</v>
      </c>
      <c r="B838" s="0" t="b">
        <f aca="false">IF(ISERROR('Gainsay economics · Gainsay dat'!H16=MIN('Gainsay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dat'!H16=MIN('Gainsay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dat'!H16="",MIN('Gainsay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dat'!H16=MIN('Gainsay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39" customFormat="false" ht="18" hidden="false" customHeight="false" outlineLevel="0" collapsed="false">
      <c r="A839" s="27" t="s">
        <v>438</v>
      </c>
      <c r="B839" s="0" t="b">
        <f aca="false">IF(IFERROR(DATE(2027,4,1)&gt;=DATE(2026,10,1)=FALSE(),FALSE()),FALSE(),IF(IFERROR(DATE(2027,4,1)&lt;=DATE(2027,12,1)=FALSE(),FALSE()),FALSE(),IF(IFERROR('Model inputs'!B838=FALSE(),FALSE()),FALSE(),IF('Model inputs'!B838="","",AND(DATE(2027,4,1)&gt;=DATE(2026,10,1),DATE(2027,4,1)&lt;=DATE(2027,12,1),'Model inputs'!B838)))))</f>
        <v>0</v>
      </c>
    </row>
    <row r="840" customFormat="false" ht="18" hidden="false" customHeight="false" outlineLevel="0" collapsed="false">
      <c r="A840" s="27" t="s">
        <v>438</v>
      </c>
      <c r="B840" s="0" t="b">
        <f aca="false">IF(ISERROR('Gainsay economics · Gainsay dat'!I16=MIN('Gainsay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dat'!I16=MIN('Gainsay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dat'!I16="",MIN('Gainsay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dat'!I16=MIN('Gainsay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41" customFormat="false" ht="18" hidden="false" customHeight="false" outlineLevel="0" collapsed="false">
      <c r="A841" s="27" t="s">
        <v>438</v>
      </c>
      <c r="B841" s="0" t="b">
        <f aca="false">IF(IFERROR(DATE(2027,5,1)&gt;=DATE(2026,10,1)=FALSE(),FALSE()),FALSE(),IF(IFERROR(DATE(2027,5,1)&lt;=DATE(2027,12,1)=FALSE(),FALSE()),FALSE(),IF(IFERROR('Model inputs'!B840=FALSE(),FALSE()),FALSE(),IF('Model inputs'!B840="","",AND(DATE(2027,5,1)&gt;=DATE(2026,10,1),DATE(2027,5,1)&lt;=DATE(2027,12,1),'Model inputs'!B840)))))</f>
        <v>0</v>
      </c>
    </row>
    <row r="842" customFormat="false" ht="18" hidden="false" customHeight="false" outlineLevel="0" collapsed="false">
      <c r="A842" s="27" t="s">
        <v>438</v>
      </c>
      <c r="B842" s="0" t="b">
        <f aca="false">IF(ISERROR('Gainsay economics · Gainsay dat'!J16=MIN('Gainsay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dat'!J16=MIN('Gainsay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dat'!J16="",MIN('Gainsay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dat'!J16=MIN('Gainsay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43" customFormat="false" ht="18" hidden="false" customHeight="false" outlineLevel="0" collapsed="false">
      <c r="A843" s="27" t="s">
        <v>438</v>
      </c>
      <c r="B843" s="0" t="b">
        <f aca="false">IF(IFERROR(DATE(2027,6,1)&gt;=DATE(2026,10,1)=FALSE(),FALSE()),FALSE(),IF(IFERROR(DATE(2027,6,1)&lt;=DATE(2027,12,1)=FALSE(),FALSE()),FALSE(),IF(IFERROR('Model inputs'!B842=FALSE(),FALSE()),FALSE(),IF('Model inputs'!B842="","",AND(DATE(2027,6,1)&gt;=DATE(2026,10,1),DATE(2027,6,1)&lt;=DATE(2027,12,1),'Model inputs'!B842)))))</f>
        <v>0</v>
      </c>
    </row>
    <row r="844" customFormat="false" ht="18" hidden="false" customHeight="false" outlineLevel="0" collapsed="false">
      <c r="A844" s="27" t="s">
        <v>438</v>
      </c>
      <c r="B844" s="0" t="b">
        <f aca="false">IF(ISERROR('Gainsay economics · Gainsay dat'!K16=MIN('Gainsay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dat'!K16=MIN('Gainsay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dat'!K16="",MIN('Gainsay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dat'!K16=MIN('Gainsay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1</v>
      </c>
    </row>
    <row r="845" customFormat="false" ht="18" hidden="false" customHeight="false" outlineLevel="0" collapsed="false">
      <c r="A845" s="27" t="s">
        <v>438</v>
      </c>
      <c r="B845" s="0" t="b">
        <f aca="false">IF(IFERROR(DATE(2027,7,1)&gt;=DATE(2026,10,1)=FALSE(),FALSE()),FALSE(),IF(IFERROR(DATE(2027,7,1)&lt;=DATE(2027,12,1)=FALSE(),FALSE()),FALSE(),IF(IFERROR('Model inputs'!B844=FALSE(),FALSE()),FALSE(),IF('Model inputs'!B844="","",AND(DATE(2027,7,1)&gt;=DATE(2026,10,1),DATE(2027,7,1)&lt;=DATE(2027,12,1),'Model inputs'!B844)))))</f>
        <v>1</v>
      </c>
    </row>
    <row r="846" customFormat="false" ht="18" hidden="false" customHeight="false" outlineLevel="0" collapsed="false">
      <c r="A846" s="27" t="s">
        <v>438</v>
      </c>
      <c r="B846" s="0" t="b">
        <f aca="false">IF(ISERROR('Gainsay economics · Gainsay dat'!L16=MIN('Gainsay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dat'!L16=MIN('Gainsay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dat'!L16="",MIN('Gainsay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dat'!L16=MIN('Gainsay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47" customFormat="false" ht="18" hidden="false" customHeight="false" outlineLevel="0" collapsed="false">
      <c r="A847" s="27" t="s">
        <v>438</v>
      </c>
      <c r="B847" s="0" t="b">
        <f aca="false">IF(IFERROR(DATE(2027,8,1)&gt;=DATE(2026,10,1)=FALSE(),FALSE()),FALSE(),IF(IFERROR(DATE(2027,8,1)&lt;=DATE(2027,12,1)=FALSE(),FALSE()),FALSE(),IF(IFERROR('Model inputs'!B846=FALSE(),FALSE()),FALSE(),IF('Model inputs'!B846="","",AND(DATE(2027,8,1)&gt;=DATE(2026,10,1),DATE(2027,8,1)&lt;=DATE(2027,12,1),'Model inputs'!B846)))))</f>
        <v>0</v>
      </c>
    </row>
    <row r="848" customFormat="false" ht="18" hidden="false" customHeight="false" outlineLevel="0" collapsed="false">
      <c r="A848" s="27" t="s">
        <v>438</v>
      </c>
      <c r="B848" s="0" t="b">
        <f aca="false">IF(ISERROR('Gainsay economics · Gainsay dat'!M16=MIN('Gainsay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dat'!M16=MIN('Gainsay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dat'!M16="",MIN('Gainsay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dat'!M16=MIN('Gainsay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49" customFormat="false" ht="18" hidden="false" customHeight="false" outlineLevel="0" collapsed="false">
      <c r="A849" s="27" t="s">
        <v>438</v>
      </c>
      <c r="B849" s="0" t="b">
        <f aca="false">IF(IFERROR(DATE(2027,9,1)&gt;=DATE(2026,10,1)=FALSE(),FALSE()),FALSE(),IF(IFERROR(DATE(2027,9,1)&lt;=DATE(2027,12,1)=FALSE(),FALSE()),FALSE(),IF(IFERROR('Model inputs'!B848=FALSE(),FALSE()),FALSE(),IF('Model inputs'!B848="","",AND(DATE(2027,9,1)&gt;=DATE(2026,10,1),DATE(2027,9,1)&lt;=DATE(2027,12,1),'Model inputs'!B848)))))</f>
        <v>0</v>
      </c>
    </row>
    <row r="850" customFormat="false" ht="18" hidden="false" customHeight="false" outlineLevel="0" collapsed="false">
      <c r="A850" s="27" t="s">
        <v>438</v>
      </c>
      <c r="B850" s="0" t="b">
        <f aca="false">IF(ISERROR('Gainsay economics · Gainsay dat'!N16=MIN('Gainsay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dat'!N16=MIN('Gainsay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dat'!N16="",MIN('Gainsay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dat'!N16=MIN('Gainsay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51" customFormat="false" ht="18" hidden="false" customHeight="false" outlineLevel="0" collapsed="false">
      <c r="A851" s="27" t="s">
        <v>438</v>
      </c>
      <c r="B851" s="0" t="b">
        <f aca="false">IF(IFERROR(DATE(2027,10,1)&gt;=DATE(2026,10,1)=FALSE(),FALSE()),FALSE(),IF(IFERROR(DATE(2027,10,1)&lt;=DATE(2027,12,1)=FALSE(),FALSE()),FALSE(),IF(IFERROR('Model inputs'!B850=FALSE(),FALSE()),FALSE(),IF('Model inputs'!B850="","",AND(DATE(2027,10,1)&gt;=DATE(2026,10,1),DATE(2027,10,1)&lt;=DATE(2027,12,1),'Model inputs'!B850)))))</f>
        <v>0</v>
      </c>
    </row>
    <row r="852" customFormat="false" ht="18" hidden="false" customHeight="false" outlineLevel="0" collapsed="false">
      <c r="A852" s="27" t="s">
        <v>438</v>
      </c>
      <c r="B852" s="0" t="b">
        <f aca="false">IF(ISERROR('Gainsay economics · Gainsay dat'!O16=MIN('Gainsay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dat'!O16=MIN('Gainsay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dat'!O16="",MIN('Gainsay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dat'!O16=MIN('Gainsay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53" customFormat="false" ht="18" hidden="false" customHeight="false" outlineLevel="0" collapsed="false">
      <c r="A853" s="27" t="s">
        <v>438</v>
      </c>
      <c r="B853" s="0" t="b">
        <f aca="false">IF(IFERROR(DATE(2027,11,1)&gt;=DATE(2026,10,1)=FALSE(),FALSE()),FALSE(),IF(IFERROR(DATE(2027,11,1)&lt;=DATE(2027,12,1)=FALSE(),FALSE()),FALSE(),IF(IFERROR('Model inputs'!B852=FALSE(),FALSE()),FALSE(),IF('Model inputs'!B852="","",AND(DATE(2027,11,1)&gt;=DATE(2026,10,1),DATE(2027,11,1)&lt;=DATE(2027,12,1),'Model inputs'!B852)))))</f>
        <v>0</v>
      </c>
    </row>
    <row r="854" customFormat="false" ht="18" hidden="false" customHeight="false" outlineLevel="0" collapsed="false">
      <c r="A854" s="27" t="s">
        <v>438</v>
      </c>
      <c r="B854" s="0" t="b">
        <f aca="false">IF(ISERROR('Gainsay economics · Gainsay dat'!P16=MIN('Gainsay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dat'!P16)),'Gainsay economics · Gainsay dat'!P16=MIN('Gainsay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dat'!P16),IF(OR('Gainsay economics · Gainsay dat'!P16="",MIN('Gainsay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dat'!P16)=""),"",'Gainsay economics · Gainsay dat'!P16=MIN('Gainsay economics · Gainsay dat'!B16,'Gainsay economics · Gainsay dat'!C16,'Gainsay economics · Gainsay dat'!D16,'Gainsay economics · Gainsay dat'!E16,'Gainsay economics · Gainsay dat'!F16,'Gainsay economics · Gainsay dat'!G16,'Gainsay economics · Gainsay dat'!H16,'Gainsay economics · Gainsay dat'!I16,'Gainsay economics · Gainsay dat'!J16,'Gainsay economics · Gainsay dat'!K16,'Gainsay economics · Gainsay dat'!L16,'Gainsay economics · Gainsay dat'!M16,'Gainsay economics · Gainsay dat'!N16,'Gainsay economics · Gainsay dat'!O16,'Gainsay economics · Gainsay dat'!P16)))</f>
        <v>0</v>
      </c>
    </row>
    <row r="855" customFormat="false" ht="18" hidden="false" customHeight="false" outlineLevel="0" collapsed="false">
      <c r="A855" s="27" t="s">
        <v>438</v>
      </c>
      <c r="B855" s="0" t="b">
        <f aca="false">IF(IFERROR(DATE(2027,12,1)&gt;=DATE(2026,10,1)=FALSE(),FALSE()),FALSE(),IF(IFERROR(DATE(2027,12,1)&lt;=DATE(2027,12,1)=FALSE(),FALSE()),FALSE(),IF(IFERROR('Model inputs'!B854=FALSE(),FALSE()),FALSE(),IF('Model inputs'!B854="","",AND(DATE(2027,12,1)&gt;=DATE(2026,10,1),DATE(2027,12,1)&lt;=DATE(2027,12,1),'Model inputs'!B854)))))</f>
        <v>0</v>
      </c>
    </row>
    <row r="856" customFormat="false" ht="18" hidden="false" customHeight="false" outlineLevel="0" collapsed="false">
      <c r="A856" s="27" t="s">
        <v>438</v>
      </c>
      <c r="B856" s="0" t="b">
        <f aca="false">IF(ISERROR('Model inputs'!B43=MIN('Model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inputs'!B43=MIN('Model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inputs'!B43="",MIN('Model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inputs'!B43=MIN('Model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57" customFormat="false" ht="18" hidden="false" customHeight="false" outlineLevel="0" collapsed="false">
      <c r="A857" s="27" t="s">
        <v>438</v>
      </c>
      <c r="B857" s="0" t="b">
        <f aca="false">IF(IFERROR(DATE(2026,1,1)&gt;=DATE(2026,10,1)=FALSE(),FALSE()),FALSE(),IF(IFERROR(DATE(2026,1,1)&lt;=DATE(2027,12,1)=FALSE(),FALSE()),FALSE(),IF(IFERROR('Model inputs'!B856=FALSE(),FALSE()),FALSE(),IF('Model inputs'!B856="","",AND(DATE(2026,1,1)&gt;=DATE(2026,10,1),DATE(2026,1,1)&lt;=DATE(2027,12,1),'Model inputs'!B856)))))</f>
        <v>0</v>
      </c>
    </row>
    <row r="858" customFormat="false" ht="18" hidden="false" customHeight="false" outlineLevel="0" collapsed="false">
      <c r="A858" s="27" t="s">
        <v>438</v>
      </c>
      <c r="B858" s="0" t="b">
        <f aca="false">IF(ISERROR('Model inputs'!C43=MIN('Model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inputs'!C43=MIN('Model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inputs'!C43="",MIN('Model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inputs'!C43=MIN('Model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59" customFormat="false" ht="18" hidden="false" customHeight="false" outlineLevel="0" collapsed="false">
      <c r="A859" s="27" t="s">
        <v>438</v>
      </c>
      <c r="B859" s="0" t="b">
        <f aca="false">IF(IFERROR(DATE(2026,2,1)&gt;=DATE(2026,10,1)=FALSE(),FALSE()),FALSE(),IF(IFERROR(DATE(2026,2,1)&lt;=DATE(2027,12,1)=FALSE(),FALSE()),FALSE(),IF(IFERROR('Model inputs'!B858=FALSE(),FALSE()),FALSE(),IF('Model inputs'!B858="","",AND(DATE(2026,2,1)&gt;=DATE(2026,10,1),DATE(2026,2,1)&lt;=DATE(2027,12,1),'Model inputs'!B858)))))</f>
        <v>0</v>
      </c>
    </row>
    <row r="860" customFormat="false" ht="18" hidden="false" customHeight="false" outlineLevel="0" collapsed="false">
      <c r="A860" s="27" t="s">
        <v>438</v>
      </c>
      <c r="B860" s="0" t="b">
        <f aca="false">IF(ISERROR('Model inputs'!D43=MIN('Model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inputs'!D43=MIN('Model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inputs'!D43="",MIN('Model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inputs'!D43=MIN('Model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61" customFormat="false" ht="18" hidden="false" customHeight="false" outlineLevel="0" collapsed="false">
      <c r="A861" s="27" t="s">
        <v>438</v>
      </c>
      <c r="B861" s="0" t="b">
        <f aca="false">IF(IFERROR(DATE(2026,3,1)&gt;=DATE(2026,10,1)=FALSE(),FALSE()),FALSE(),IF(IFERROR(DATE(2026,3,1)&lt;=DATE(2027,12,1)=FALSE(),FALSE()),FALSE(),IF(IFERROR('Model inputs'!B860=FALSE(),FALSE()),FALSE(),IF('Model inputs'!B860="","",AND(DATE(2026,3,1)&gt;=DATE(2026,10,1),DATE(2026,3,1)&lt;=DATE(2027,12,1),'Model inputs'!B860)))))</f>
        <v>0</v>
      </c>
    </row>
    <row r="862" customFormat="false" ht="18" hidden="false" customHeight="false" outlineLevel="0" collapsed="false">
      <c r="A862" s="27" t="s">
        <v>438</v>
      </c>
      <c r="B862" s="0" t="b">
        <f aca="false">IF(ISERROR('Model inputs'!E43=MIN('Model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inputs'!E43=MIN('Model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inputs'!E43="",MIN('Model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inputs'!E43=MIN('Model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63" customFormat="false" ht="18" hidden="false" customHeight="false" outlineLevel="0" collapsed="false">
      <c r="A863" s="27" t="s">
        <v>438</v>
      </c>
      <c r="B863" s="0" t="b">
        <f aca="false">IF(IFERROR(DATE(2026,4,1)&gt;=DATE(2026,10,1)=FALSE(),FALSE()),FALSE(),IF(IFERROR(DATE(2026,4,1)&lt;=DATE(2027,12,1)=FALSE(),FALSE()),FALSE(),IF(IFERROR('Model inputs'!B862=FALSE(),FALSE()),FALSE(),IF('Model inputs'!B862="","",AND(DATE(2026,4,1)&gt;=DATE(2026,10,1),DATE(2026,4,1)&lt;=DATE(2027,12,1),'Model inputs'!B862)))))</f>
        <v>0</v>
      </c>
    </row>
    <row r="864" customFormat="false" ht="18" hidden="false" customHeight="false" outlineLevel="0" collapsed="false">
      <c r="A864" s="27" t="s">
        <v>438</v>
      </c>
      <c r="B864" s="0" t="b">
        <f aca="false">IF(ISERROR('Model inputs'!F43=MIN('Model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inputs'!F43=MIN('Model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inputs'!F43="",MIN('Model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inputs'!F43=MIN('Model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65" customFormat="false" ht="18" hidden="false" customHeight="false" outlineLevel="0" collapsed="false">
      <c r="A865" s="27" t="s">
        <v>438</v>
      </c>
      <c r="B865" s="0" t="b">
        <f aca="false">IF(IFERROR(DATE(2026,5,1)&gt;=DATE(2026,10,1)=FALSE(),FALSE()),FALSE(),IF(IFERROR(DATE(2026,5,1)&lt;=DATE(2027,12,1)=FALSE(),FALSE()),FALSE(),IF(IFERROR('Model inputs'!B864=FALSE(),FALSE()),FALSE(),IF('Model inputs'!B864="","",AND(DATE(2026,5,1)&gt;=DATE(2026,10,1),DATE(2026,5,1)&lt;=DATE(2027,12,1),'Model inputs'!B864)))))</f>
        <v>0</v>
      </c>
    </row>
    <row r="866" customFormat="false" ht="18" hidden="false" customHeight="false" outlineLevel="0" collapsed="false">
      <c r="A866" s="27" t="s">
        <v>438</v>
      </c>
      <c r="B866" s="0" t="b">
        <f aca="false">IF(ISERROR('Model inputs'!G43=MIN('Model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inputs'!G43=MIN('Model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inputs'!G43="",MIN('Model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inputs'!G43=MIN('Model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67" customFormat="false" ht="18" hidden="false" customHeight="false" outlineLevel="0" collapsed="false">
      <c r="A867" s="27" t="s">
        <v>438</v>
      </c>
      <c r="B867" s="0" t="b">
        <f aca="false">IF(IFERROR(DATE(2026,6,1)&gt;=DATE(2026,10,1)=FALSE(),FALSE()),FALSE(),IF(IFERROR(DATE(2026,6,1)&lt;=DATE(2027,12,1)=FALSE(),FALSE()),FALSE(),IF(IFERROR('Model inputs'!B866=FALSE(),FALSE()),FALSE(),IF('Model inputs'!B866="","",AND(DATE(2026,6,1)&gt;=DATE(2026,10,1),DATE(2026,6,1)&lt;=DATE(2027,12,1),'Model inputs'!B866)))))</f>
        <v>0</v>
      </c>
    </row>
    <row r="868" customFormat="false" ht="18" hidden="false" customHeight="false" outlineLevel="0" collapsed="false">
      <c r="A868" s="27" t="s">
        <v>438</v>
      </c>
      <c r="B868" s="0" t="b">
        <f aca="false">IF(ISERROR('Model inputs'!H43=MIN('Model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inputs'!H43=MIN('Model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inputs'!H43="",MIN('Model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inputs'!H43=MIN('Model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69" customFormat="false" ht="18" hidden="false" customHeight="false" outlineLevel="0" collapsed="false">
      <c r="A869" s="27" t="s">
        <v>438</v>
      </c>
      <c r="B869" s="0" t="b">
        <f aca="false">IF(IFERROR(DATE(2026,7,1)&gt;=DATE(2026,10,1)=FALSE(),FALSE()),FALSE(),IF(IFERROR(DATE(2026,7,1)&lt;=DATE(2027,12,1)=FALSE(),FALSE()),FALSE(),IF(IFERROR('Model inputs'!B868=FALSE(),FALSE()),FALSE(),IF('Model inputs'!B868="","",AND(DATE(2026,7,1)&gt;=DATE(2026,10,1),DATE(2026,7,1)&lt;=DATE(2027,12,1),'Model inputs'!B868)))))</f>
        <v>0</v>
      </c>
    </row>
    <row r="870" customFormat="false" ht="18" hidden="false" customHeight="false" outlineLevel="0" collapsed="false">
      <c r="A870" s="27" t="s">
        <v>438</v>
      </c>
      <c r="B870" s="0" t="b">
        <f aca="false">IF(ISERROR('Model inputs'!I43=MIN('Model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inputs'!I43=MIN('Model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inputs'!I43="",MIN('Model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inputs'!I43=MIN('Model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71" customFormat="false" ht="18" hidden="false" customHeight="false" outlineLevel="0" collapsed="false">
      <c r="A871" s="27" t="s">
        <v>438</v>
      </c>
      <c r="B871" s="0" t="b">
        <f aca="false">IF(IFERROR(DATE(2026,8,1)&gt;=DATE(2026,10,1)=FALSE(),FALSE()),FALSE(),IF(IFERROR(DATE(2026,8,1)&lt;=DATE(2027,12,1)=FALSE(),FALSE()),FALSE(),IF(IFERROR('Model inputs'!B870=FALSE(),FALSE()),FALSE(),IF('Model inputs'!B870="","",AND(DATE(2026,8,1)&gt;=DATE(2026,10,1),DATE(2026,8,1)&lt;=DATE(2027,12,1),'Model inputs'!B870)))))</f>
        <v>0</v>
      </c>
    </row>
    <row r="872" customFormat="false" ht="18" hidden="false" customHeight="false" outlineLevel="0" collapsed="false">
      <c r="A872" s="27" t="s">
        <v>438</v>
      </c>
      <c r="B872" s="0" t="b">
        <f aca="false">IF(ISERROR('Model inputs'!J43=MIN('Model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inputs'!Y43)),'Model inputs'!J43=MIN('Model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inputs'!Y43),IF(OR('Model inputs'!J43="",MIN('Model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inputs'!Y43)=""),"",'Model inputs'!J43=MIN('Model inputs'!K43,'Model inputs'!L43,'Model inputs'!M43,'Model inputs'!N43,'Model inputs'!O43,'Model inputs'!P43,'Model inputs'!Q43,'Model inputs'!R43,'Model inputs'!S43,'Model inputs'!T43,'Model inputs'!U43,'Model inputs'!V43,'Model inputs'!W43,'Model inputs'!X43,'Model inputs'!Y43)))</f>
        <v>0</v>
      </c>
    </row>
    <row r="873" customFormat="false" ht="18" hidden="false" customHeight="false" outlineLevel="0" collapsed="false">
      <c r="A873" s="27" t="s">
        <v>438</v>
      </c>
      <c r="B873" s="0" t="b">
        <f aca="false">IF(IFERROR(DATE(2026,9,1)&gt;=DATE(2026,10,1)=FALSE(),FALSE()),FALSE(),IF(IFERROR(DATE(2026,9,1)&lt;=DATE(2027,12,1)=FALSE(),FALSE()),FALSE(),IF(IFERROR('Model inputs'!B872=FALSE(),FALSE()),FALSE(),IF('Model inputs'!B872="","",AND(DATE(2026,9,1)&gt;=DATE(2026,10,1),DATE(2026,9,1)&lt;=DATE(2027,12,1),'Model inputs'!B872)))))</f>
        <v>0</v>
      </c>
    </row>
    <row r="874" customFormat="false" ht="18" hidden="false" customHeight="false" outlineLevel="0" collapsed="false">
      <c r="A874" s="27" t="s">
        <v>438</v>
      </c>
      <c r="B874" s="0" t="str">
        <f aca="false">IF(IF('Model inputs'!B827="",FALSE(),'Model inputs'!B827),'Gainsay economics · Gainsay ope'!B42,"")</f>
        <v/>
      </c>
    </row>
    <row r="875" customFormat="false" ht="18" hidden="false" customHeight="false" outlineLevel="0" collapsed="false">
      <c r="A875" s="27" t="s">
        <v>438</v>
      </c>
      <c r="B875" s="0" t="str">
        <f aca="false">IF(IF('Model inputs'!B829="",FALSE(),'Model inputs'!B829),'Gainsay economics · Gainsay ope'!C42,"")</f>
        <v/>
      </c>
    </row>
    <row r="876" customFormat="false" ht="18" hidden="false" customHeight="false" outlineLevel="0" collapsed="false">
      <c r="A876" s="27" t="s">
        <v>438</v>
      </c>
      <c r="B876" s="0" t="str">
        <f aca="false">IF(IF('Model inputs'!B831="",FALSE(),'Model inputs'!B831),'Gainsay economics · Gainsay ope'!D42,"")</f>
        <v/>
      </c>
    </row>
    <row r="877" customFormat="false" ht="18" hidden="false" customHeight="false" outlineLevel="0" collapsed="false">
      <c r="A877" s="27" t="s">
        <v>438</v>
      </c>
      <c r="B877" s="0" t="str">
        <f aca="false">IF(IF('Model inputs'!B833="",FALSE(),'Model inputs'!B833),'Gainsay economics · Gainsay ope'!E42,"")</f>
        <v/>
      </c>
    </row>
    <row r="878" customFormat="false" ht="18" hidden="false" customHeight="false" outlineLevel="0" collapsed="false">
      <c r="A878" s="27" t="s">
        <v>438</v>
      </c>
      <c r="B878" s="0" t="str">
        <f aca="false">IF(IF('Model inputs'!B835="",FALSE(),'Model inputs'!B835),'Gainsay economics · Gainsay ope'!F42,"")</f>
        <v/>
      </c>
    </row>
    <row r="879" customFormat="false" ht="18" hidden="false" customHeight="false" outlineLevel="0" collapsed="false">
      <c r="A879" s="27" t="s">
        <v>438</v>
      </c>
      <c r="B879" s="0" t="str">
        <f aca="false">IF(IF('Model inputs'!B837="",FALSE(),'Model inputs'!B837),'Gainsay economics · Gainsay ope'!G42,"")</f>
        <v/>
      </c>
    </row>
    <row r="880" customFormat="false" ht="18" hidden="false" customHeight="false" outlineLevel="0" collapsed="false">
      <c r="A880" s="27" t="s">
        <v>438</v>
      </c>
      <c r="B880" s="0" t="str">
        <f aca="false">IF(IF('Model inputs'!B839="",FALSE(),'Model inputs'!B839),'Gainsay economics · Gainsay ope'!H42,"")</f>
        <v/>
      </c>
    </row>
    <row r="881" customFormat="false" ht="18" hidden="false" customHeight="false" outlineLevel="0" collapsed="false">
      <c r="A881" s="27" t="s">
        <v>438</v>
      </c>
      <c r="B881" s="0" t="str">
        <f aca="false">IF(IF('Model inputs'!B841="",FALSE(),'Model inputs'!B841),'Gainsay economics · Gainsay ope'!I42,"")</f>
        <v/>
      </c>
    </row>
    <row r="882" customFormat="false" ht="18" hidden="false" customHeight="false" outlineLevel="0" collapsed="false">
      <c r="A882" s="27" t="s">
        <v>438</v>
      </c>
      <c r="B882" s="0" t="str">
        <f aca="false">IF(IF('Model inputs'!B843="",FALSE(),'Model inputs'!B843),'Gainsay economics · Gainsay ope'!J42,"")</f>
        <v/>
      </c>
    </row>
    <row r="883" customFormat="false" ht="18" hidden="false" customHeight="false" outlineLevel="0" collapsed="false">
      <c r="A883" s="27" t="s">
        <v>438</v>
      </c>
      <c r="B883" s="0" t="n">
        <f aca="false">IF(IF('Model inputs'!B845="",FALSE(),'Model inputs'!B845),'Gainsay economics · Gainsay ope'!K42,"")</f>
        <v>10</v>
      </c>
    </row>
    <row r="884" customFormat="false" ht="18" hidden="false" customHeight="false" outlineLevel="0" collapsed="false">
      <c r="A884" s="27" t="s">
        <v>438</v>
      </c>
      <c r="B884" s="0" t="str">
        <f aca="false">IF(IF('Model inputs'!B847="",FALSE(),'Model inputs'!B847),'Gainsay economics · Gainsay ope'!L42,"")</f>
        <v/>
      </c>
    </row>
    <row r="885" customFormat="false" ht="18" hidden="false" customHeight="false" outlineLevel="0" collapsed="false">
      <c r="A885" s="27" t="s">
        <v>438</v>
      </c>
      <c r="B885" s="0" t="str">
        <f aca="false">IF(IF('Model inputs'!B849="",FALSE(),'Model inputs'!B849),'Gainsay economics · Gainsay ope'!M42,"")</f>
        <v/>
      </c>
    </row>
    <row r="886" customFormat="false" ht="18" hidden="false" customHeight="false" outlineLevel="0" collapsed="false">
      <c r="A886" s="27" t="s">
        <v>438</v>
      </c>
      <c r="B886" s="0" t="str">
        <f aca="false">IF(IF('Model inputs'!B851="",FALSE(),'Model inputs'!B851),'Gainsay economics · Gainsay ope'!N42,"")</f>
        <v/>
      </c>
    </row>
    <row r="887" customFormat="false" ht="18" hidden="false" customHeight="false" outlineLevel="0" collapsed="false">
      <c r="A887" s="27" t="s">
        <v>438</v>
      </c>
      <c r="B887" s="0" t="str">
        <f aca="false">IF(IF('Model inputs'!B853="",FALSE(),'Model inputs'!B853),'Gainsay economics · Gainsay ope'!O42,"")</f>
        <v/>
      </c>
    </row>
    <row r="888" customFormat="false" ht="18" hidden="false" customHeight="false" outlineLevel="0" collapsed="false">
      <c r="A888" s="27" t="s">
        <v>438</v>
      </c>
      <c r="B888" s="0" t="str">
        <f aca="false">IF(IF('Model inputs'!B855="",FALSE(),'Model inputs'!B855),'Gainsay economics · Gainsay ope'!P42,"")</f>
        <v/>
      </c>
    </row>
    <row r="889" customFormat="false" ht="18" hidden="false" customHeight="false" outlineLevel="0" collapsed="false">
      <c r="A889" s="27" t="s">
        <v>438</v>
      </c>
      <c r="B889" s="0" t="str">
        <f aca="false">IF(IF('Model inputs'!B857="",FALSE(),'Model inputs'!B857),'Model inputs'!B97,"")</f>
        <v/>
      </c>
    </row>
    <row r="890" customFormat="false" ht="18" hidden="false" customHeight="false" outlineLevel="0" collapsed="false">
      <c r="A890" s="27" t="s">
        <v>438</v>
      </c>
      <c r="B890" s="0" t="str">
        <f aca="false">IF(IF('Model inputs'!B859="",FALSE(),'Model inputs'!B859),'Model inputs'!C97,"")</f>
        <v/>
      </c>
    </row>
    <row r="891" customFormat="false" ht="18" hidden="false" customHeight="false" outlineLevel="0" collapsed="false">
      <c r="A891" s="27" t="s">
        <v>438</v>
      </c>
      <c r="B891" s="0" t="str">
        <f aca="false">IF(IF('Model inputs'!B861="",FALSE(),'Model inputs'!B861),'Model inputs'!D97,"")</f>
        <v/>
      </c>
    </row>
    <row r="892" customFormat="false" ht="18" hidden="false" customHeight="false" outlineLevel="0" collapsed="false">
      <c r="A892" s="27" t="s">
        <v>438</v>
      </c>
      <c r="B892" s="0" t="str">
        <f aca="false">IF(IF('Model inputs'!B863="",FALSE(),'Model inputs'!B863),'Model inputs'!E97,"")</f>
        <v/>
      </c>
    </row>
    <row r="893" customFormat="false" ht="18" hidden="false" customHeight="false" outlineLevel="0" collapsed="false">
      <c r="A893" s="27" t="s">
        <v>438</v>
      </c>
      <c r="B893" s="0" t="str">
        <f aca="false">IF(IF('Model inputs'!B865="",FALSE(),'Model inputs'!B865),'Model inputs'!F97,"")</f>
        <v/>
      </c>
    </row>
    <row r="894" customFormat="false" ht="18" hidden="false" customHeight="false" outlineLevel="0" collapsed="false">
      <c r="A894" s="27" t="s">
        <v>438</v>
      </c>
      <c r="B894" s="0" t="str">
        <f aca="false">IF(IF('Model inputs'!B867="",FALSE(),'Model inputs'!B867),'Model inputs'!G97,"")</f>
        <v/>
      </c>
    </row>
    <row r="895" customFormat="false" ht="18" hidden="false" customHeight="false" outlineLevel="0" collapsed="false">
      <c r="A895" s="27" t="s">
        <v>438</v>
      </c>
      <c r="B895" s="0" t="str">
        <f aca="false">IF(IF('Model inputs'!B869="",FALSE(),'Model inputs'!B869),'Model inputs'!H97,"")</f>
        <v/>
      </c>
    </row>
    <row r="896" customFormat="false" ht="18" hidden="false" customHeight="false" outlineLevel="0" collapsed="false">
      <c r="A896" s="27" t="s">
        <v>438</v>
      </c>
      <c r="B896" s="0" t="str">
        <f aca="false">IF(IF('Model inputs'!B871="",FALSE(),'Model inputs'!B871),'Model inputs'!I97,"")</f>
        <v/>
      </c>
    </row>
    <row r="897" customFormat="false" ht="18" hidden="false" customHeight="false" outlineLevel="0" collapsed="false">
      <c r="A897" s="27" t="s">
        <v>438</v>
      </c>
      <c r="B897" s="0" t="str">
        <f aca="false">IF(IF('Model inputs'!B873="",FALSE(),'Model inputs'!B873),'Model inputs'!J97,"")</f>
        <v/>
      </c>
    </row>
    <row r="898" customFormat="false" ht="18" hidden="false" customHeight="false" outlineLevel="0" collapsed="false">
      <c r="A898" s="27" t="s">
        <v>438</v>
      </c>
      <c r="B898" s="0" t="n">
        <f aca="false">(IF(AND('Model inputs'!B874="",'Model inputs'!B875="",'Model inputs'!B876="",'Model inputs'!B877="",'Model inputs'!B878="",'Model inputs'!B879="",'Model inputs'!B880="",'Model inputs'!B881="",'Model inputs'!B882="",'Model inputs'!B883="",'Model inputs'!B884="",'Model inputs'!B885="",'Model inputs'!B886="",'Model inputs'!B887="",'Model inputs'!B888="",'Model inputs'!B889="",'Model inputs'!B890="",'Model inputs'!B891="",'Model inputs'!B892="",'Model inputs'!B893="",'Model inputs'!B894="",'Model inputs'!B895="",'Model inputs'!B896="",'Model inputs'!B897=""),"",MIN('Model inputs'!B874,'Model inputs'!B875,'Model inputs'!B876,'Model inputs'!B877,'Model inputs'!B878,'Model inputs'!B879,'Model inputs'!B880,'Model inputs'!B881,'Model inputs'!B882,'Model inputs'!B883,'Model inputs'!B884,'Model inputs'!B885,'Model inputs'!B886,'Model inputs'!B887,'Model inputs'!B888,'Model inputs'!B889,'Model inputs'!B890,'Model inputs'!B891,'Model inputs'!B892,'Model inputs'!B893,'Model inputs'!B894,'Model inputs'!B895,'Model inputs'!B896,'Model inputs'!B897)))</f>
        <v>10</v>
      </c>
    </row>
    <row r="899" customFormat="false" ht="18" hidden="false" customHeight="false" outlineLevel="0" collapsed="false">
      <c r="A899" s="27" t="s">
        <v>438</v>
      </c>
      <c r="B899" s="0" t="b">
        <f aca="false">IF(ISERROR('Gainsay economics · Gainsay dat'!B13&gt;0),'Gainsay economics · Gainsay dat'!B13&gt;0,IF('Gainsay economics · Gainsay dat'!B13="","",'Gainsay economics · Gainsay dat'!B13&gt;0))</f>
        <v>0</v>
      </c>
    </row>
    <row r="900" customFormat="false" ht="18" hidden="false" customHeight="false" outlineLevel="0" collapsed="false">
      <c r="A900" s="27" t="s">
        <v>438</v>
      </c>
      <c r="B900" s="0" t="b">
        <f aca="false">IF(IFERROR(DATE(2026,10,1)&gt;=DATE(2026,10,1)=FALSE(),FALSE()),FALSE(),IF(IFERROR(DATE(2026,10,1)&lt;=DATE(2027,12,1)=FALSE(),FALSE()),FALSE(),IF(IFERROR('Model inputs'!B899=FALSE(),FALSE()),FALSE(),IF('Model inputs'!B899="","",AND(DATE(2026,10,1)&gt;=DATE(2026,10,1),DATE(2026,10,1)&lt;=DATE(2027,12,1),'Model inputs'!B899)))))</f>
        <v>0</v>
      </c>
    </row>
    <row r="901" customFormat="false" ht="18" hidden="false" customHeight="false" outlineLevel="0" collapsed="false">
      <c r="A901" s="27" t="s">
        <v>438</v>
      </c>
      <c r="B901" s="0" t="b">
        <f aca="false">IF(ISERROR('Gainsay economics · Gainsay dat'!C13&gt;0),'Gainsay economics · Gainsay dat'!C13&gt;0,IF('Gainsay economics · Gainsay dat'!C13="","",'Gainsay economics · Gainsay dat'!C13&gt;0))</f>
        <v>0</v>
      </c>
    </row>
    <row r="902" customFormat="false" ht="18" hidden="false" customHeight="false" outlineLevel="0" collapsed="false">
      <c r="A902" s="27" t="s">
        <v>438</v>
      </c>
      <c r="B902" s="0" t="b">
        <f aca="false">IF(IFERROR(DATE(2026,11,1)&gt;=DATE(2026,10,1)=FALSE(),FALSE()),FALSE(),IF(IFERROR(DATE(2026,11,1)&lt;=DATE(2027,12,1)=FALSE(),FALSE()),FALSE(),IF(IFERROR('Model inputs'!B901=FALSE(),FALSE()),FALSE(),IF('Model inputs'!B901="","",AND(DATE(2026,11,1)&gt;=DATE(2026,10,1),DATE(2026,11,1)&lt;=DATE(2027,12,1),'Model inputs'!B901)))))</f>
        <v>0</v>
      </c>
    </row>
    <row r="903" customFormat="false" ht="18" hidden="false" customHeight="false" outlineLevel="0" collapsed="false">
      <c r="A903" s="27" t="s">
        <v>438</v>
      </c>
      <c r="B903" s="0" t="b">
        <f aca="false">IF(ISERROR('Gainsay economics · Gainsay dat'!D13&gt;0),'Gainsay economics · Gainsay dat'!D13&gt;0,IF('Gainsay economics · Gainsay dat'!D13="","",'Gainsay economics · Gainsay dat'!D13&gt;0))</f>
        <v>0</v>
      </c>
    </row>
    <row r="904" customFormat="false" ht="18" hidden="false" customHeight="false" outlineLevel="0" collapsed="false">
      <c r="A904" s="27" t="s">
        <v>438</v>
      </c>
      <c r="B904" s="0" t="b">
        <f aca="false">IF(IFERROR(DATE(2026,12,1)&gt;=DATE(2026,10,1)=FALSE(),FALSE()),FALSE(),IF(IFERROR(DATE(2026,12,1)&lt;=DATE(2027,12,1)=FALSE(),FALSE()),FALSE(),IF(IFERROR('Model inputs'!B903=FALSE(),FALSE()),FALSE(),IF('Model inputs'!B903="","",AND(DATE(2026,12,1)&gt;=DATE(2026,10,1),DATE(2026,12,1)&lt;=DATE(2027,12,1),'Model inputs'!B903)))))</f>
        <v>0</v>
      </c>
    </row>
    <row r="905" customFormat="false" ht="18" hidden="false" customHeight="false" outlineLevel="0" collapsed="false">
      <c r="A905" s="27" t="s">
        <v>438</v>
      </c>
      <c r="B905" s="0" t="b">
        <f aca="false">IF(ISERROR('Gainsay economics · Gainsay dat'!E13&gt;0),'Gainsay economics · Gainsay dat'!E13&gt;0,IF('Gainsay economics · Gainsay dat'!E13="","",'Gainsay economics · Gainsay dat'!E13&gt;0))</f>
        <v>0</v>
      </c>
    </row>
    <row r="906" customFormat="false" ht="18" hidden="false" customHeight="false" outlineLevel="0" collapsed="false">
      <c r="A906" s="27" t="s">
        <v>438</v>
      </c>
      <c r="B906" s="0" t="b">
        <f aca="false">IF(IFERROR(DATE(2027,1,1)&gt;=DATE(2026,10,1)=FALSE(),FALSE()),FALSE(),IF(IFERROR(DATE(2027,1,1)&lt;=DATE(2027,12,1)=FALSE(),FALSE()),FALSE(),IF(IFERROR('Model inputs'!B905=FALSE(),FALSE()),FALSE(),IF('Model inputs'!B905="","",AND(DATE(2027,1,1)&gt;=DATE(2026,10,1),DATE(2027,1,1)&lt;=DATE(2027,12,1),'Model inputs'!B905)))))</f>
        <v>0</v>
      </c>
    </row>
    <row r="907" customFormat="false" ht="18" hidden="false" customHeight="false" outlineLevel="0" collapsed="false">
      <c r="A907" s="27" t="s">
        <v>438</v>
      </c>
      <c r="B907" s="0" t="b">
        <f aca="false">IF(ISERROR('Gainsay economics · Gainsay dat'!F13&gt;0),'Gainsay economics · Gainsay dat'!F13&gt;0,IF('Gainsay economics · Gainsay dat'!F13="","",'Gainsay economics · Gainsay dat'!F13&gt;0))</f>
        <v>0</v>
      </c>
    </row>
    <row r="908" customFormat="false" ht="18" hidden="false" customHeight="false" outlineLevel="0" collapsed="false">
      <c r="A908" s="27" t="s">
        <v>438</v>
      </c>
      <c r="B908" s="0" t="b">
        <f aca="false">IF(IFERROR(DATE(2027,2,1)&gt;=DATE(2026,10,1)=FALSE(),FALSE()),FALSE(),IF(IFERROR(DATE(2027,2,1)&lt;=DATE(2027,12,1)=FALSE(),FALSE()),FALSE(),IF(IFERROR('Model inputs'!B907=FALSE(),FALSE()),FALSE(),IF('Model inputs'!B907="","",AND(DATE(2027,2,1)&gt;=DATE(2026,10,1),DATE(2027,2,1)&lt;=DATE(2027,12,1),'Model inputs'!B907)))))</f>
        <v>0</v>
      </c>
    </row>
    <row r="909" customFormat="false" ht="18" hidden="false" customHeight="false" outlineLevel="0" collapsed="false">
      <c r="A909" s="27" t="s">
        <v>438</v>
      </c>
      <c r="B909" s="0" t="b">
        <f aca="false">IF(ISERROR('Gainsay economics · Gainsay dat'!G13&gt;0),'Gainsay economics · Gainsay dat'!G13&gt;0,IF('Gainsay economics · Gainsay dat'!G13="","",'Gainsay economics · Gainsay dat'!G13&gt;0))</f>
        <v>0</v>
      </c>
    </row>
    <row r="910" customFormat="false" ht="18" hidden="false" customHeight="false" outlineLevel="0" collapsed="false">
      <c r="A910" s="27" t="s">
        <v>438</v>
      </c>
      <c r="B910" s="0" t="b">
        <f aca="false">IF(IFERROR(DATE(2027,3,1)&gt;=DATE(2026,10,1)=FALSE(),FALSE()),FALSE(),IF(IFERROR(DATE(2027,3,1)&lt;=DATE(2027,12,1)=FALSE(),FALSE()),FALSE(),IF(IFERROR('Model inputs'!B909=FALSE(),FALSE()),FALSE(),IF('Model inputs'!B909="","",AND(DATE(2027,3,1)&gt;=DATE(2026,10,1),DATE(2027,3,1)&lt;=DATE(2027,12,1),'Model inputs'!B909)))))</f>
        <v>0</v>
      </c>
    </row>
    <row r="911" customFormat="false" ht="18" hidden="false" customHeight="false" outlineLevel="0" collapsed="false">
      <c r="A911" s="27" t="s">
        <v>438</v>
      </c>
      <c r="B911" s="0" t="b">
        <f aca="false">IF(ISERROR('Gainsay economics · Gainsay dat'!H13&gt;0),'Gainsay economics · Gainsay dat'!H13&gt;0,IF('Gainsay economics · Gainsay dat'!H13="","",'Gainsay economics · Gainsay dat'!H13&gt;0))</f>
        <v>0</v>
      </c>
    </row>
    <row r="912" customFormat="false" ht="18" hidden="false" customHeight="false" outlineLevel="0" collapsed="false">
      <c r="A912" s="27" t="s">
        <v>438</v>
      </c>
      <c r="B912" s="0" t="b">
        <f aca="false">IF(IFERROR(DATE(2027,4,1)&gt;=DATE(2026,10,1)=FALSE(),FALSE()),FALSE(),IF(IFERROR(DATE(2027,4,1)&lt;=DATE(2027,12,1)=FALSE(),FALSE()),FALSE(),IF(IFERROR('Model inputs'!B911=FALSE(),FALSE()),FALSE(),IF('Model inputs'!B911="","",AND(DATE(2027,4,1)&gt;=DATE(2026,10,1),DATE(2027,4,1)&lt;=DATE(2027,12,1),'Model inputs'!B911)))))</f>
        <v>0</v>
      </c>
    </row>
    <row r="913" customFormat="false" ht="18" hidden="false" customHeight="false" outlineLevel="0" collapsed="false">
      <c r="A913" s="27" t="s">
        <v>438</v>
      </c>
      <c r="B913" s="0" t="b">
        <f aca="false">IF(ISERROR('Gainsay economics · Gainsay dat'!I13&gt;0),'Gainsay economics · Gainsay dat'!I13&gt;0,IF('Gainsay economics · Gainsay dat'!I13="","",'Gainsay economics · Gainsay dat'!I13&gt;0))</f>
        <v>1</v>
      </c>
    </row>
    <row r="914" customFormat="false" ht="18" hidden="false" customHeight="false" outlineLevel="0" collapsed="false">
      <c r="A914" s="27" t="s">
        <v>438</v>
      </c>
      <c r="B914" s="0" t="b">
        <f aca="false">IF(IFERROR(DATE(2027,5,1)&gt;=DATE(2026,10,1)=FALSE(),FALSE()),FALSE(),IF(IFERROR(DATE(2027,5,1)&lt;=DATE(2027,12,1)=FALSE(),FALSE()),FALSE(),IF(IFERROR('Model inputs'!B913=FALSE(),FALSE()),FALSE(),IF('Model inputs'!B913="","",AND(DATE(2027,5,1)&gt;=DATE(2026,10,1),DATE(2027,5,1)&lt;=DATE(2027,12,1),'Model inputs'!B913)))))</f>
        <v>1</v>
      </c>
    </row>
    <row r="915" customFormat="false" ht="18" hidden="false" customHeight="false" outlineLevel="0" collapsed="false">
      <c r="A915" s="27" t="s">
        <v>438</v>
      </c>
      <c r="B915" s="0" t="b">
        <f aca="false">IF(ISERROR('Gainsay economics · Gainsay dat'!J13&gt;0),'Gainsay economics · Gainsay dat'!J13&gt;0,IF('Gainsay economics · Gainsay dat'!J13="","",'Gainsay economics · Gainsay dat'!J13&gt;0))</f>
        <v>1</v>
      </c>
    </row>
    <row r="916" customFormat="false" ht="18" hidden="false" customHeight="false" outlineLevel="0" collapsed="false">
      <c r="A916" s="27" t="s">
        <v>438</v>
      </c>
      <c r="B916" s="0" t="b">
        <f aca="false">IF(IFERROR(DATE(2027,6,1)&gt;=DATE(2026,10,1)=FALSE(),FALSE()),FALSE(),IF(IFERROR(DATE(2027,6,1)&lt;=DATE(2027,12,1)=FALSE(),FALSE()),FALSE(),IF(IFERROR('Model inputs'!B915=FALSE(),FALSE()),FALSE(),IF('Model inputs'!B915="","",AND(DATE(2027,6,1)&gt;=DATE(2026,10,1),DATE(2027,6,1)&lt;=DATE(2027,12,1),'Model inputs'!B915)))))</f>
        <v>1</v>
      </c>
    </row>
    <row r="917" customFormat="false" ht="18" hidden="false" customHeight="false" outlineLevel="0" collapsed="false">
      <c r="A917" s="27" t="s">
        <v>438</v>
      </c>
      <c r="B917" s="0" t="b">
        <f aca="false">IF(ISERROR('Gainsay economics · Gainsay dat'!K13&gt;0),'Gainsay economics · Gainsay dat'!K13&gt;0,IF('Gainsay economics · Gainsay dat'!K13="","",'Gainsay economics · Gainsay dat'!K13&gt;0))</f>
        <v>1</v>
      </c>
    </row>
    <row r="918" customFormat="false" ht="18" hidden="false" customHeight="false" outlineLevel="0" collapsed="false">
      <c r="A918" s="27" t="s">
        <v>438</v>
      </c>
      <c r="B918" s="0" t="b">
        <f aca="false">IF(IFERROR(DATE(2027,7,1)&gt;=DATE(2026,10,1)=FALSE(),FALSE()),FALSE(),IF(IFERROR(DATE(2027,7,1)&lt;=DATE(2027,12,1)=FALSE(),FALSE()),FALSE(),IF(IFERROR('Model inputs'!B917=FALSE(),FALSE()),FALSE(),IF('Model inputs'!B917="","",AND(DATE(2027,7,1)&gt;=DATE(2026,10,1),DATE(2027,7,1)&lt;=DATE(2027,12,1),'Model inputs'!B917)))))</f>
        <v>1</v>
      </c>
    </row>
    <row r="919" customFormat="false" ht="18" hidden="false" customHeight="false" outlineLevel="0" collapsed="false">
      <c r="A919" s="27" t="s">
        <v>438</v>
      </c>
      <c r="B919" s="0" t="b">
        <f aca="false">IF(ISERROR('Gainsay economics · Gainsay dat'!L13&gt;0),'Gainsay economics · Gainsay dat'!L13&gt;0,IF('Gainsay economics · Gainsay dat'!L13="","",'Gainsay economics · Gainsay dat'!L13&gt;0))</f>
        <v>1</v>
      </c>
    </row>
    <row r="920" customFormat="false" ht="18" hidden="false" customHeight="false" outlineLevel="0" collapsed="false">
      <c r="A920" s="27" t="s">
        <v>438</v>
      </c>
      <c r="B920" s="0" t="b">
        <f aca="false">IF(IFERROR(DATE(2027,8,1)&gt;=DATE(2026,10,1)=FALSE(),FALSE()),FALSE(),IF(IFERROR(DATE(2027,8,1)&lt;=DATE(2027,12,1)=FALSE(),FALSE()),FALSE(),IF(IFERROR('Model inputs'!B919=FALSE(),FALSE()),FALSE(),IF('Model inputs'!B919="","",AND(DATE(2027,8,1)&gt;=DATE(2026,10,1),DATE(2027,8,1)&lt;=DATE(2027,12,1),'Model inputs'!B919)))))</f>
        <v>1</v>
      </c>
    </row>
    <row r="921" customFormat="false" ht="18" hidden="false" customHeight="false" outlineLevel="0" collapsed="false">
      <c r="A921" s="27" t="s">
        <v>438</v>
      </c>
      <c r="B921" s="0" t="b">
        <f aca="false">IF(ISERROR('Gainsay economics · Gainsay dat'!M13&gt;0),'Gainsay economics · Gainsay dat'!M13&gt;0,IF('Gainsay economics · Gainsay dat'!M13="","",'Gainsay economics · Gainsay dat'!M13&gt;0))</f>
        <v>1</v>
      </c>
    </row>
    <row r="922" customFormat="false" ht="18" hidden="false" customHeight="false" outlineLevel="0" collapsed="false">
      <c r="A922" s="27" t="s">
        <v>438</v>
      </c>
      <c r="B922" s="0" t="b">
        <f aca="false">IF(IFERROR(DATE(2027,9,1)&gt;=DATE(2026,10,1)=FALSE(),FALSE()),FALSE(),IF(IFERROR(DATE(2027,9,1)&lt;=DATE(2027,12,1)=FALSE(),FALSE()),FALSE(),IF(IFERROR('Model inputs'!B921=FALSE(),FALSE()),FALSE(),IF('Model inputs'!B921="","",AND(DATE(2027,9,1)&gt;=DATE(2026,10,1),DATE(2027,9,1)&lt;=DATE(2027,12,1),'Model inputs'!B921)))))</f>
        <v>1</v>
      </c>
    </row>
    <row r="923" customFormat="false" ht="18" hidden="false" customHeight="false" outlineLevel="0" collapsed="false">
      <c r="A923" s="27" t="s">
        <v>438</v>
      </c>
      <c r="B923" s="0" t="b">
        <f aca="false">IF(ISERROR('Gainsay economics · Gainsay dat'!N13&gt;0),'Gainsay economics · Gainsay dat'!N13&gt;0,IF('Gainsay economics · Gainsay dat'!N13="","",'Gainsay economics · Gainsay dat'!N13&gt;0))</f>
        <v>1</v>
      </c>
    </row>
    <row r="924" customFormat="false" ht="18" hidden="false" customHeight="false" outlineLevel="0" collapsed="false">
      <c r="A924" s="27" t="s">
        <v>438</v>
      </c>
      <c r="B924" s="0" t="b">
        <f aca="false">IF(IFERROR(DATE(2027,10,1)&gt;=DATE(2026,10,1)=FALSE(),FALSE()),FALSE(),IF(IFERROR(DATE(2027,10,1)&lt;=DATE(2027,12,1)=FALSE(),FALSE()),FALSE(),IF(IFERROR('Model inputs'!B923=FALSE(),FALSE()),FALSE(),IF('Model inputs'!B923="","",AND(DATE(2027,10,1)&gt;=DATE(2026,10,1),DATE(2027,10,1)&lt;=DATE(2027,12,1),'Model inputs'!B923)))))</f>
        <v>1</v>
      </c>
    </row>
    <row r="925" customFormat="false" ht="18" hidden="false" customHeight="false" outlineLevel="0" collapsed="false">
      <c r="A925" s="27" t="s">
        <v>438</v>
      </c>
      <c r="B925" s="0" t="b">
        <f aca="false">IF(ISERROR('Gainsay economics · Gainsay dat'!O13&gt;0),'Gainsay economics · Gainsay dat'!O13&gt;0,IF('Gainsay economics · Gainsay dat'!O13="","",'Gainsay economics · Gainsay dat'!O13&gt;0))</f>
        <v>1</v>
      </c>
    </row>
    <row r="926" customFormat="false" ht="18" hidden="false" customHeight="false" outlineLevel="0" collapsed="false">
      <c r="A926" s="27" t="s">
        <v>438</v>
      </c>
      <c r="B926" s="0" t="b">
        <f aca="false">IF(IFERROR(DATE(2027,11,1)&gt;=DATE(2026,10,1)=FALSE(),FALSE()),FALSE(),IF(IFERROR(DATE(2027,11,1)&lt;=DATE(2027,12,1)=FALSE(),FALSE()),FALSE(),IF(IFERROR('Model inputs'!B925=FALSE(),FALSE()),FALSE(),IF('Model inputs'!B925="","",AND(DATE(2027,11,1)&gt;=DATE(2026,10,1),DATE(2027,11,1)&lt;=DATE(2027,12,1),'Model inputs'!B925)))))</f>
        <v>1</v>
      </c>
    </row>
    <row r="927" customFormat="false" ht="18" hidden="false" customHeight="false" outlineLevel="0" collapsed="false">
      <c r="A927" s="27" t="s">
        <v>438</v>
      </c>
      <c r="B927" s="0" t="b">
        <f aca="false">IF(ISERROR('Gainsay economics · Gainsay dat'!P13&gt;0),'Gainsay economics · Gainsay dat'!P13&gt;0,IF('Gainsay economics · Gainsay dat'!P13="","",'Gainsay economics · Gainsay dat'!P13&gt;0))</f>
        <v>1</v>
      </c>
    </row>
    <row r="928" customFormat="false" ht="18" hidden="false" customHeight="false" outlineLevel="0" collapsed="false">
      <c r="A928" s="27" t="s">
        <v>438</v>
      </c>
      <c r="B928" s="0" t="b">
        <f aca="false">IF(IFERROR(DATE(2027,12,1)&gt;=DATE(2026,10,1)=FALSE(),FALSE()),FALSE(),IF(IFERROR(DATE(2027,12,1)&lt;=DATE(2027,12,1)=FALSE(),FALSE()),FALSE(),IF(IFERROR('Model inputs'!B927=FALSE(),FALSE()),FALSE(),IF('Model inputs'!B927="","",AND(DATE(2027,12,1)&gt;=DATE(2026,10,1),DATE(2027,12,1)&lt;=DATE(2027,12,1),'Model inputs'!B927)))))</f>
        <v>1</v>
      </c>
    </row>
    <row r="929" customFormat="false" ht="18" hidden="false" customHeight="false" outlineLevel="0" collapsed="false">
      <c r="A929" s="27" t="s">
        <v>438</v>
      </c>
      <c r="B929" s="0" t="b">
        <f aca="false">IF(IFERROR(DATE(2026,1,1)&gt;=DATE(2026,10,1)=FALSE(),FALSE()),FALSE(),IF(IFERROR(DATE(2026,1,1)&lt;=DATE(2027,12,1)=FALSE(),FALSE()),FALSE(),IF(IFERROR(IF(ISERROR('Model inputs'!B48&gt;0),'Model inputs'!B48&gt;0,IF('Model inputs'!B48="","",'Model inputs'!B48&gt;0))=FALSE(),FALSE()),FALSE(),IF(IF(ISERROR('Model inputs'!B48&gt;0),'Model inputs'!B48&gt;0,IF('Model inputs'!B48="","",'Model inputs'!B48&gt;0))="","",AND(DATE(2026,1,1)&gt;=DATE(2026,10,1),DATE(2026,1,1)&lt;=DATE(2027,12,1),IF(ISERROR('Model inputs'!B48&gt;0),'Model inputs'!B48&gt;0,IF('Model inputs'!B48="","",'Model inputs'!B48&gt;0)))))))</f>
        <v>0</v>
      </c>
    </row>
    <row r="930" customFormat="false" ht="18" hidden="false" customHeight="false" outlineLevel="0" collapsed="false">
      <c r="A930" s="27" t="s">
        <v>438</v>
      </c>
      <c r="B930" s="0" t="b">
        <f aca="false">IF(IFERROR(DATE(2026,2,1)&gt;=DATE(2026,10,1)=FALSE(),FALSE()),FALSE(),IF(IFERROR(DATE(2026,2,1)&lt;=DATE(2027,12,1)=FALSE(),FALSE()),FALSE(),IF(IFERROR(IF(ISERROR('Model inputs'!C48&gt;0),'Model inputs'!C48&gt;0,IF('Model inputs'!C48="","",'Model inputs'!C48&gt;0))=FALSE(),FALSE()),FALSE(),IF(IF(ISERROR('Model inputs'!C48&gt;0),'Model inputs'!C48&gt;0,IF('Model inputs'!C48="","",'Model inputs'!C48&gt;0))="","",AND(DATE(2026,2,1)&gt;=DATE(2026,10,1),DATE(2026,2,1)&lt;=DATE(2027,12,1),IF(ISERROR('Model inputs'!C48&gt;0),'Model inputs'!C48&gt;0,IF('Model inputs'!C48="","",'Model inputs'!C48&gt;0)))))))</f>
        <v>0</v>
      </c>
    </row>
    <row r="931" customFormat="false" ht="18" hidden="false" customHeight="false" outlineLevel="0" collapsed="false">
      <c r="A931" s="27" t="s">
        <v>438</v>
      </c>
      <c r="B931" s="0" t="b">
        <f aca="false">IF(IFERROR(DATE(2026,3,1)&gt;=DATE(2026,10,1)=FALSE(),FALSE()),FALSE(),IF(IFERROR(DATE(2026,3,1)&lt;=DATE(2027,12,1)=FALSE(),FALSE()),FALSE(),IF(IFERROR(IF(ISERROR('Model inputs'!D48&gt;0),'Model inputs'!D48&gt;0,IF('Model inputs'!D48="","",'Model inputs'!D48&gt;0))=FALSE(),FALSE()),FALSE(),IF(IF(ISERROR('Model inputs'!D48&gt;0),'Model inputs'!D48&gt;0,IF('Model inputs'!D48="","",'Model inputs'!D48&gt;0))="","",AND(DATE(2026,3,1)&gt;=DATE(2026,10,1),DATE(2026,3,1)&lt;=DATE(2027,12,1),IF(ISERROR('Model inputs'!D48&gt;0),'Model inputs'!D48&gt;0,IF('Model inputs'!D48="","",'Model inputs'!D48&gt;0)))))))</f>
        <v>0</v>
      </c>
    </row>
    <row r="932" customFormat="false" ht="18" hidden="false" customHeight="false" outlineLevel="0" collapsed="false">
      <c r="A932" s="27" t="s">
        <v>438</v>
      </c>
      <c r="B932" s="0" t="b">
        <f aca="false">IF(IFERROR(DATE(2026,4,1)&gt;=DATE(2026,10,1)=FALSE(),FALSE()),FALSE(),IF(IFERROR(DATE(2026,4,1)&lt;=DATE(2027,12,1)=FALSE(),FALSE()),FALSE(),IF(IFERROR(IF(ISERROR('Model inputs'!E48&gt;0),'Model inputs'!E48&gt;0,IF('Model inputs'!E48="","",'Model inputs'!E48&gt;0))=FALSE(),FALSE()),FALSE(),IF(IF(ISERROR('Model inputs'!E48&gt;0),'Model inputs'!E48&gt;0,IF('Model inputs'!E48="","",'Model inputs'!E48&gt;0))="","",AND(DATE(2026,4,1)&gt;=DATE(2026,10,1),DATE(2026,4,1)&lt;=DATE(2027,12,1),IF(ISERROR('Model inputs'!E48&gt;0),'Model inputs'!E48&gt;0,IF('Model inputs'!E48="","",'Model inputs'!E48&gt;0)))))))</f>
        <v>0</v>
      </c>
    </row>
    <row r="933" customFormat="false" ht="18" hidden="false" customHeight="false" outlineLevel="0" collapsed="false">
      <c r="A933" s="27" t="s">
        <v>438</v>
      </c>
      <c r="B933" s="0" t="b">
        <f aca="false">IF(IFERROR(DATE(2026,5,1)&gt;=DATE(2026,10,1)=FALSE(),FALSE()),FALSE(),IF(IFERROR(DATE(2026,5,1)&lt;=DATE(2027,12,1)=FALSE(),FALSE()),FALSE(),IF(IFERROR(IF(ISERROR('Model inputs'!F48&gt;0),'Model inputs'!F48&gt;0,IF('Model inputs'!F48="","",'Model inputs'!F48&gt;0))=FALSE(),FALSE()),FALSE(),IF(IF(ISERROR('Model inputs'!F48&gt;0),'Model inputs'!F48&gt;0,IF('Model inputs'!F48="","",'Model inputs'!F48&gt;0))="","",AND(DATE(2026,5,1)&gt;=DATE(2026,10,1),DATE(2026,5,1)&lt;=DATE(2027,12,1),IF(ISERROR('Model inputs'!F48&gt;0),'Model inputs'!F48&gt;0,IF('Model inputs'!F48="","",'Model inputs'!F48&gt;0)))))))</f>
        <v>0</v>
      </c>
    </row>
    <row r="934" customFormat="false" ht="18" hidden="false" customHeight="false" outlineLevel="0" collapsed="false">
      <c r="A934" s="27" t="s">
        <v>438</v>
      </c>
      <c r="B934" s="0" t="b">
        <f aca="false">IF(IFERROR(DATE(2026,6,1)&gt;=DATE(2026,10,1)=FALSE(),FALSE()),FALSE(),IF(IFERROR(DATE(2026,6,1)&lt;=DATE(2027,12,1)=FALSE(),FALSE()),FALSE(),IF(IFERROR(IF(ISERROR('Model inputs'!G48&gt;0),'Model inputs'!G48&gt;0,IF('Model inputs'!G48="","",'Model inputs'!G48&gt;0))=FALSE(),FALSE()),FALSE(),IF(IF(ISERROR('Model inputs'!G48&gt;0),'Model inputs'!G48&gt;0,IF('Model inputs'!G48="","",'Model inputs'!G48&gt;0))="","",AND(DATE(2026,6,1)&gt;=DATE(2026,10,1),DATE(2026,6,1)&lt;=DATE(2027,12,1),IF(ISERROR('Model inputs'!G48&gt;0),'Model inputs'!G48&gt;0,IF('Model inputs'!G48="","",'Model inputs'!G48&gt;0)))))))</f>
        <v>0</v>
      </c>
    </row>
    <row r="935" customFormat="false" ht="18" hidden="false" customHeight="false" outlineLevel="0" collapsed="false">
      <c r="A935" s="27" t="s">
        <v>438</v>
      </c>
      <c r="B935" s="0" t="b">
        <f aca="false">IF(IFERROR(DATE(2026,7,1)&gt;=DATE(2026,10,1)=FALSE(),FALSE()),FALSE(),IF(IFERROR(DATE(2026,7,1)&lt;=DATE(2027,12,1)=FALSE(),FALSE()),FALSE(),IF(IFERROR(IF(ISERROR('Model inputs'!H48&gt;0),'Model inputs'!H48&gt;0,IF('Model inputs'!H48="","",'Model inputs'!H48&gt;0))=FALSE(),FALSE()),FALSE(),IF(IF(ISERROR('Model inputs'!H48&gt;0),'Model inputs'!H48&gt;0,IF('Model inputs'!H48="","",'Model inputs'!H48&gt;0))="","",AND(DATE(2026,7,1)&gt;=DATE(2026,10,1),DATE(2026,7,1)&lt;=DATE(2027,12,1),IF(ISERROR('Model inputs'!H48&gt;0),'Model inputs'!H48&gt;0,IF('Model inputs'!H48="","",'Model inputs'!H48&gt;0)))))))</f>
        <v>0</v>
      </c>
    </row>
    <row r="936" customFormat="false" ht="18" hidden="false" customHeight="false" outlineLevel="0" collapsed="false">
      <c r="A936" s="27" t="s">
        <v>438</v>
      </c>
      <c r="B936" s="0" t="b">
        <f aca="false">IF(IFERROR(DATE(2026,8,1)&gt;=DATE(2026,10,1)=FALSE(),FALSE()),FALSE(),IF(IFERROR(DATE(2026,8,1)&lt;=DATE(2027,12,1)=FALSE(),FALSE()),FALSE(),IF(IFERROR(IF(ISERROR('Model inputs'!I48&gt;0),'Model inputs'!I48&gt;0,IF('Model inputs'!I48="","",'Model inputs'!I48&gt;0))=FALSE(),FALSE()),FALSE(),IF(IF(ISERROR('Model inputs'!I48&gt;0),'Model inputs'!I48&gt;0,IF('Model inputs'!I48="","",'Model inputs'!I48&gt;0))="","",AND(DATE(2026,8,1)&gt;=DATE(2026,10,1),DATE(2026,8,1)&lt;=DATE(2027,12,1),IF(ISERROR('Model inputs'!I48&gt;0),'Model inputs'!I48&gt;0,IF('Model inputs'!I48="","",'Model inputs'!I48&gt;0)))))))</f>
        <v>0</v>
      </c>
    </row>
    <row r="937" customFormat="false" ht="18" hidden="false" customHeight="false" outlineLevel="0" collapsed="false">
      <c r="A937" s="27" t="s">
        <v>438</v>
      </c>
      <c r="B937" s="0" t="b">
        <f aca="false">IF(IFERROR(DATE(2026,9,1)&gt;=DATE(2026,10,1)=FALSE(),FALSE()),FALSE(),IF(IFERROR(DATE(2026,9,1)&lt;=DATE(2027,12,1)=FALSE(),FALSE()),FALSE(),IF(IFERROR(IF(ISERROR('Model inputs'!J48&gt;0),'Model inputs'!J48&gt;0,IF('Model inputs'!J48="","",'Model inputs'!J48&gt;0))=FALSE(),FALSE()),FALSE(),IF(IF(ISERROR('Model inputs'!J48&gt;0),'Model inputs'!J48&gt;0,IF('Model inputs'!J48="","",'Model inputs'!J48&gt;0))="","",AND(DATE(2026,9,1)&gt;=DATE(2026,10,1),DATE(2026,9,1)&lt;=DATE(2027,12,1),IF(ISERROR('Model inputs'!J48&gt;0),'Model inputs'!J48&gt;0,IF('Model inputs'!J48="","",'Model inputs'!J48&gt;0)))))))</f>
        <v>0</v>
      </c>
    </row>
    <row r="938" customFormat="false" ht="18" hidden="false" customHeight="false" outlineLevel="0" collapsed="false">
      <c r="A938" s="27" t="s">
        <v>438</v>
      </c>
      <c r="B938" s="0" t="str">
        <f aca="false">IF(IF('Model inputs'!B900="",FALSE(),'Model inputs'!B900),'Gainsay economics · Gainsay ope'!B42,"")</f>
        <v/>
      </c>
    </row>
    <row r="939" customFormat="false" ht="18" hidden="false" customHeight="false" outlineLevel="0" collapsed="false">
      <c r="A939" s="27" t="s">
        <v>438</v>
      </c>
      <c r="B939" s="0" t="str">
        <f aca="false">IF(IF('Model inputs'!B902="",FALSE(),'Model inputs'!B902),'Gainsay economics · Gainsay ope'!C42,"")</f>
        <v/>
      </c>
    </row>
    <row r="940" customFormat="false" ht="18" hidden="false" customHeight="false" outlineLevel="0" collapsed="false">
      <c r="A940" s="27" t="s">
        <v>438</v>
      </c>
      <c r="B940" s="0" t="str">
        <f aca="false">IF(IF('Model inputs'!B904="",FALSE(),'Model inputs'!B904),'Gainsay economics · Gainsay ope'!D42,"")</f>
        <v/>
      </c>
    </row>
    <row r="941" customFormat="false" ht="18" hidden="false" customHeight="false" outlineLevel="0" collapsed="false">
      <c r="A941" s="27" t="s">
        <v>438</v>
      </c>
      <c r="B941" s="0" t="str">
        <f aca="false">IF(IF('Model inputs'!B906="",FALSE(),'Model inputs'!B906),'Gainsay economics · Gainsay ope'!E42,"")</f>
        <v/>
      </c>
    </row>
    <row r="942" customFormat="false" ht="18" hidden="false" customHeight="false" outlineLevel="0" collapsed="false">
      <c r="A942" s="27" t="s">
        <v>438</v>
      </c>
      <c r="B942" s="0" t="str">
        <f aca="false">IF(IF('Model inputs'!B908="",FALSE(),'Model inputs'!B908),'Gainsay economics · Gainsay ope'!F42,"")</f>
        <v/>
      </c>
    </row>
    <row r="943" customFormat="false" ht="18" hidden="false" customHeight="false" outlineLevel="0" collapsed="false">
      <c r="A943" s="27" t="s">
        <v>438</v>
      </c>
      <c r="B943" s="0" t="str">
        <f aca="false">IF(IF('Model inputs'!B910="",FALSE(),'Model inputs'!B910),'Gainsay economics · Gainsay ope'!G42,"")</f>
        <v/>
      </c>
    </row>
    <row r="944" customFormat="false" ht="18" hidden="false" customHeight="false" outlineLevel="0" collapsed="false">
      <c r="A944" s="27" t="s">
        <v>438</v>
      </c>
      <c r="B944" s="0" t="str">
        <f aca="false">IF(IF('Model inputs'!B912="",FALSE(),'Model inputs'!B912),'Gainsay economics · Gainsay ope'!H42,"")</f>
        <v/>
      </c>
    </row>
    <row r="945" customFormat="false" ht="18" hidden="false" customHeight="false" outlineLevel="0" collapsed="false">
      <c r="A945" s="27" t="s">
        <v>438</v>
      </c>
      <c r="B945" s="0" t="n">
        <f aca="false">IF(IF('Model inputs'!B914="",FALSE(),'Model inputs'!B914),'Gainsay economics · Gainsay ope'!I42,"")</f>
        <v>8</v>
      </c>
    </row>
    <row r="946" customFormat="false" ht="18" hidden="false" customHeight="false" outlineLevel="0" collapsed="false">
      <c r="A946" s="27" t="s">
        <v>438</v>
      </c>
      <c r="B946" s="0" t="n">
        <f aca="false">IF(IF('Model inputs'!B916="",FALSE(),'Model inputs'!B916),'Gainsay economics · Gainsay ope'!J42,"")</f>
        <v>9</v>
      </c>
    </row>
    <row r="947" customFormat="false" ht="18" hidden="false" customHeight="false" outlineLevel="0" collapsed="false">
      <c r="A947" s="27" t="s">
        <v>438</v>
      </c>
      <c r="B947" s="0" t="n">
        <f aca="false">IF(IF('Model inputs'!B918="",FALSE(),'Model inputs'!B918),'Gainsay economics · Gainsay ope'!K42,"")</f>
        <v>10</v>
      </c>
    </row>
    <row r="948" customFormat="false" ht="18" hidden="false" customHeight="false" outlineLevel="0" collapsed="false">
      <c r="A948" s="27" t="s">
        <v>438</v>
      </c>
      <c r="B948" s="0" t="n">
        <f aca="false">IF(IF('Model inputs'!B920="",FALSE(),'Model inputs'!B920),'Gainsay economics · Gainsay ope'!L42,"")</f>
        <v>11</v>
      </c>
    </row>
    <row r="949" customFormat="false" ht="18" hidden="false" customHeight="false" outlineLevel="0" collapsed="false">
      <c r="A949" s="27" t="s">
        <v>438</v>
      </c>
      <c r="B949" s="0" t="n">
        <f aca="false">IF(IF('Model inputs'!B922="",FALSE(),'Model inputs'!B922),'Gainsay economics · Gainsay ope'!M42,"")</f>
        <v>12</v>
      </c>
    </row>
    <row r="950" customFormat="false" ht="18" hidden="false" customHeight="false" outlineLevel="0" collapsed="false">
      <c r="A950" s="27" t="s">
        <v>438</v>
      </c>
      <c r="B950" s="0" t="n">
        <f aca="false">IF(IF('Model inputs'!B924="",FALSE(),'Model inputs'!B924),'Gainsay economics · Gainsay ope'!N42,"")</f>
        <v>13</v>
      </c>
    </row>
    <row r="951" customFormat="false" ht="18" hidden="false" customHeight="false" outlineLevel="0" collapsed="false">
      <c r="A951" s="27" t="s">
        <v>438</v>
      </c>
      <c r="B951" s="0" t="n">
        <f aca="false">IF(IF('Model inputs'!B926="",FALSE(),'Model inputs'!B926),'Gainsay economics · Gainsay ope'!O42,"")</f>
        <v>14</v>
      </c>
    </row>
    <row r="952" customFormat="false" ht="18" hidden="false" customHeight="false" outlineLevel="0" collapsed="false">
      <c r="A952" s="27" t="s">
        <v>438</v>
      </c>
      <c r="B952" s="0" t="n">
        <f aca="false">IF(IF('Model inputs'!B928="",FALSE(),'Model inputs'!B928),'Gainsay economics · Gainsay ope'!P42,"")</f>
        <v>15</v>
      </c>
    </row>
    <row r="953" customFormat="false" ht="18" hidden="false" customHeight="false" outlineLevel="0" collapsed="false">
      <c r="A953" s="27" t="s">
        <v>438</v>
      </c>
      <c r="B953" s="0" t="str">
        <f aca="false">IF(IF('Model inputs'!B929="",FALSE(),'Model inputs'!B929),'Model inputs'!B97,"")</f>
        <v/>
      </c>
    </row>
    <row r="954" customFormat="false" ht="18" hidden="false" customHeight="false" outlineLevel="0" collapsed="false">
      <c r="A954" s="27" t="s">
        <v>438</v>
      </c>
      <c r="B954" s="0" t="str">
        <f aca="false">IF(IF('Model inputs'!B930="",FALSE(),'Model inputs'!B930),'Model inputs'!C97,"")</f>
        <v/>
      </c>
    </row>
    <row r="955" customFormat="false" ht="18" hidden="false" customHeight="false" outlineLevel="0" collapsed="false">
      <c r="A955" s="27" t="s">
        <v>438</v>
      </c>
      <c r="B955" s="0" t="str">
        <f aca="false">IF(IF('Model inputs'!B931="",FALSE(),'Model inputs'!B931),'Model inputs'!D97,"")</f>
        <v/>
      </c>
    </row>
    <row r="956" customFormat="false" ht="18" hidden="false" customHeight="false" outlineLevel="0" collapsed="false">
      <c r="A956" s="27" t="s">
        <v>438</v>
      </c>
      <c r="B956" s="0" t="str">
        <f aca="false">IF(IF('Model inputs'!B932="",FALSE(),'Model inputs'!B932),'Model inputs'!E97,"")</f>
        <v/>
      </c>
    </row>
    <row r="957" customFormat="false" ht="18" hidden="false" customHeight="false" outlineLevel="0" collapsed="false">
      <c r="A957" s="27" t="s">
        <v>438</v>
      </c>
      <c r="B957" s="0" t="str">
        <f aca="false">IF(IF('Model inputs'!B933="",FALSE(),'Model inputs'!B933),'Model inputs'!F97,"")</f>
        <v/>
      </c>
    </row>
    <row r="958" customFormat="false" ht="18" hidden="false" customHeight="false" outlineLevel="0" collapsed="false">
      <c r="A958" s="27" t="s">
        <v>438</v>
      </c>
      <c r="B958" s="0" t="str">
        <f aca="false">IF(IF('Model inputs'!B934="",FALSE(),'Model inputs'!B934),'Model inputs'!G97,"")</f>
        <v/>
      </c>
    </row>
    <row r="959" customFormat="false" ht="18" hidden="false" customHeight="false" outlineLevel="0" collapsed="false">
      <c r="A959" s="27" t="s">
        <v>438</v>
      </c>
      <c r="B959" s="0" t="str">
        <f aca="false">IF(IF('Model inputs'!B935="",FALSE(),'Model inputs'!B935),'Model inputs'!H97,"")</f>
        <v/>
      </c>
    </row>
    <row r="960" customFormat="false" ht="18" hidden="false" customHeight="false" outlineLevel="0" collapsed="false">
      <c r="A960" s="27" t="s">
        <v>438</v>
      </c>
      <c r="B960" s="0" t="str">
        <f aca="false">IF(IF('Model inputs'!B936="",FALSE(),'Model inputs'!B936),'Model inputs'!I97,"")</f>
        <v/>
      </c>
    </row>
    <row r="961" customFormat="false" ht="18" hidden="false" customHeight="false" outlineLevel="0" collapsed="false">
      <c r="A961" s="27" t="s">
        <v>438</v>
      </c>
      <c r="B961" s="0" t="str">
        <f aca="false">IF(IF('Model inputs'!B937="",FALSE(),'Model inputs'!B937),'Model inputs'!J97,"")</f>
        <v/>
      </c>
    </row>
    <row r="962" customFormat="false" ht="18" hidden="false" customHeight="false" outlineLevel="0" collapsed="false">
      <c r="A962" s="27" t="s">
        <v>438</v>
      </c>
      <c r="B962" s="0" t="n">
        <f aca="false">(IF(AND('Model inputs'!B938="",'Model inputs'!B939="",'Model inputs'!B940="",'Model inputs'!B941="",'Model inputs'!B942="",'Model inputs'!B943="",'Model inputs'!B944="",'Model inputs'!B945="",'Model inputs'!B946="",'Model inputs'!B947="",'Model inputs'!B948="",'Model inputs'!B949="",'Model inputs'!B950="",'Model inputs'!B951="",'Model inputs'!B952="",'Model inputs'!B953="",'Model inputs'!B954="",'Model inputs'!B955="",'Model inputs'!B956="",'Model inputs'!B957="",'Model inputs'!B958="",'Model inputs'!B959="",'Model inputs'!B960="",'Model inputs'!B961=""),"",MIN('Model inputs'!B938,'Model inputs'!B939,'Model inputs'!B940,'Model inputs'!B941,'Model inputs'!B942,'Model inputs'!B943,'Model inputs'!B944,'Model inputs'!B945,'Model inputs'!B946,'Model inputs'!B947,'Model inputs'!B948,'Model inputs'!B949,'Model inputs'!B950,'Model inputs'!B951,'Model inputs'!B952,'Model inputs'!B953,'Model inputs'!B954,'Model inputs'!B955,'Model inputs'!B956,'Model inputs'!B957,'Model inputs'!B958,'Model inputs'!B959,'Model inputs'!B960,'Model inputs'!B961)))</f>
        <v>8</v>
      </c>
    </row>
    <row r="963" customFormat="false" ht="18" hidden="false" customHeight="false" outlineLevel="0" collapsed="false">
      <c r="A963" s="27" t="s">
        <v>438</v>
      </c>
      <c r="B963" s="0" t="b">
        <f aca="false">IF(ISERROR('Gainsay economics · Gainsay dat'!B17=MIN('Gainsay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dat'!B17=MIN('Gainsay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dat'!B17="",MIN('Gainsay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dat'!B17=MIN('Gainsay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64" customFormat="false" ht="18" hidden="false" customHeight="false" outlineLevel="0" collapsed="false">
      <c r="A964" s="27" t="s">
        <v>438</v>
      </c>
      <c r="B964" s="0" t="b">
        <f aca="false">IF(IFERROR(DATE(2026,10,1)&gt;=DATE(2026,10,1)=FALSE(),FALSE()),FALSE(),IF(IFERROR(DATE(2026,10,1)&lt;=DATE(2027,12,1)=FALSE(),FALSE()),FALSE(),IF(IFERROR('Model inputs'!B963=FALSE(),FALSE()),FALSE(),IF('Model inputs'!B963="","",AND(DATE(2026,10,1)&gt;=DATE(2026,10,1),DATE(2026,10,1)&lt;=DATE(2027,12,1),'Model inputs'!B963)))))</f>
        <v>0</v>
      </c>
    </row>
    <row r="965" customFormat="false" ht="18" hidden="false" customHeight="false" outlineLevel="0" collapsed="false">
      <c r="A965" s="27" t="s">
        <v>438</v>
      </c>
      <c r="B965" s="0" t="b">
        <f aca="false">IF(ISERROR('Gainsay economics · Gainsay dat'!C17=MIN('Gainsay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dat'!C17=MIN('Gainsay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dat'!C17="",MIN('Gainsay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dat'!C17=MIN('Gainsay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66" customFormat="false" ht="18" hidden="false" customHeight="false" outlineLevel="0" collapsed="false">
      <c r="A966" s="27" t="s">
        <v>438</v>
      </c>
      <c r="B966" s="0" t="b">
        <f aca="false">IF(IFERROR(DATE(2026,11,1)&gt;=DATE(2026,10,1)=FALSE(),FALSE()),FALSE(),IF(IFERROR(DATE(2026,11,1)&lt;=DATE(2027,12,1)=FALSE(),FALSE()),FALSE(),IF(IFERROR('Model inputs'!B965=FALSE(),FALSE()),FALSE(),IF('Model inputs'!B965="","",AND(DATE(2026,11,1)&gt;=DATE(2026,10,1),DATE(2026,11,1)&lt;=DATE(2027,12,1),'Model inputs'!B965)))))</f>
        <v>0</v>
      </c>
    </row>
    <row r="967" customFormat="false" ht="18" hidden="false" customHeight="false" outlineLevel="0" collapsed="false">
      <c r="A967" s="27" t="s">
        <v>438</v>
      </c>
      <c r="B967" s="0" t="b">
        <f aca="false">IF(ISERROR('Gainsay economics · Gainsay dat'!D17=MIN('Gainsay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dat'!D17=MIN('Gainsay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dat'!D17="",MIN('Gainsay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dat'!D17=MIN('Gainsay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68" customFormat="false" ht="18" hidden="false" customHeight="false" outlineLevel="0" collapsed="false">
      <c r="A968" s="27" t="s">
        <v>438</v>
      </c>
      <c r="B968" s="0" t="b">
        <f aca="false">IF(IFERROR(DATE(2026,12,1)&gt;=DATE(2026,10,1)=FALSE(),FALSE()),FALSE(),IF(IFERROR(DATE(2026,12,1)&lt;=DATE(2027,12,1)=FALSE(),FALSE()),FALSE(),IF(IFERROR('Model inputs'!B967=FALSE(),FALSE()),FALSE(),IF('Model inputs'!B967="","",AND(DATE(2026,12,1)&gt;=DATE(2026,10,1),DATE(2026,12,1)&lt;=DATE(2027,12,1),'Model inputs'!B967)))))</f>
        <v>0</v>
      </c>
    </row>
    <row r="969" customFormat="false" ht="18" hidden="false" customHeight="false" outlineLevel="0" collapsed="false">
      <c r="A969" s="27" t="s">
        <v>438</v>
      </c>
      <c r="B969" s="0" t="b">
        <f aca="false">IF(ISERROR('Gainsay economics · Gainsay dat'!E17=MIN('Gainsay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dat'!E17=MIN('Gainsay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dat'!E17="",MIN('Gainsay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dat'!E17=MIN('Gainsay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70" customFormat="false" ht="18" hidden="false" customHeight="false" outlineLevel="0" collapsed="false">
      <c r="A970" s="27" t="s">
        <v>438</v>
      </c>
      <c r="B970" s="0" t="b">
        <f aca="false">IF(IFERROR(DATE(2027,1,1)&gt;=DATE(2026,10,1)=FALSE(),FALSE()),FALSE(),IF(IFERROR(DATE(2027,1,1)&lt;=DATE(2027,12,1)=FALSE(),FALSE()),FALSE(),IF(IFERROR('Model inputs'!B969=FALSE(),FALSE()),FALSE(),IF('Model inputs'!B969="","",AND(DATE(2027,1,1)&gt;=DATE(2026,10,1),DATE(2027,1,1)&lt;=DATE(2027,12,1),'Model inputs'!B969)))))</f>
        <v>0</v>
      </c>
    </row>
    <row r="971" customFormat="false" ht="18" hidden="false" customHeight="false" outlineLevel="0" collapsed="false">
      <c r="A971" s="27" t="s">
        <v>438</v>
      </c>
      <c r="B971" s="0" t="b">
        <f aca="false">IF(ISERROR('Gainsay economics · Gainsay dat'!F17=MIN('Gainsay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dat'!F17=MIN('Gainsay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dat'!F17="",MIN('Gainsay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dat'!F17=MIN('Gainsay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72" customFormat="false" ht="18" hidden="false" customHeight="false" outlineLevel="0" collapsed="false">
      <c r="A972" s="27" t="s">
        <v>438</v>
      </c>
      <c r="B972" s="0" t="b">
        <f aca="false">IF(IFERROR(DATE(2027,2,1)&gt;=DATE(2026,10,1)=FALSE(),FALSE()),FALSE(),IF(IFERROR(DATE(2027,2,1)&lt;=DATE(2027,12,1)=FALSE(),FALSE()),FALSE(),IF(IFERROR('Model inputs'!B971=FALSE(),FALSE()),FALSE(),IF('Model inputs'!B971="","",AND(DATE(2027,2,1)&gt;=DATE(2026,10,1),DATE(2027,2,1)&lt;=DATE(2027,12,1),'Model inputs'!B971)))))</f>
        <v>0</v>
      </c>
    </row>
    <row r="973" customFormat="false" ht="18" hidden="false" customHeight="false" outlineLevel="0" collapsed="false">
      <c r="A973" s="27" t="s">
        <v>438</v>
      </c>
      <c r="B973" s="0" t="b">
        <f aca="false">IF(ISERROR('Gainsay economics · Gainsay dat'!G17=MIN('Gainsay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dat'!G17=MIN('Gainsay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dat'!G17="",MIN('Gainsay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dat'!G17=MIN('Gainsay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74" customFormat="false" ht="18" hidden="false" customHeight="false" outlineLevel="0" collapsed="false">
      <c r="A974" s="27" t="s">
        <v>438</v>
      </c>
      <c r="B974" s="0" t="b">
        <f aca="false">IF(IFERROR(DATE(2027,3,1)&gt;=DATE(2026,10,1)=FALSE(),FALSE()),FALSE(),IF(IFERROR(DATE(2027,3,1)&lt;=DATE(2027,12,1)=FALSE(),FALSE()),FALSE(),IF(IFERROR('Model inputs'!B973=FALSE(),FALSE()),FALSE(),IF('Model inputs'!B973="","",AND(DATE(2027,3,1)&gt;=DATE(2026,10,1),DATE(2027,3,1)&lt;=DATE(2027,12,1),'Model inputs'!B973)))))</f>
        <v>0</v>
      </c>
    </row>
    <row r="975" customFormat="false" ht="18" hidden="false" customHeight="false" outlineLevel="0" collapsed="false">
      <c r="A975" s="27" t="s">
        <v>438</v>
      </c>
      <c r="B975" s="0" t="b">
        <f aca="false">IF(ISERROR('Gainsay economics · Gainsay dat'!H17=MIN('Gainsay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dat'!H17=MIN('Gainsay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dat'!H17="",MIN('Gainsay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dat'!H17=MIN('Gainsay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1</v>
      </c>
    </row>
    <row r="976" customFormat="false" ht="18" hidden="false" customHeight="false" outlineLevel="0" collapsed="false">
      <c r="A976" s="27" t="s">
        <v>438</v>
      </c>
      <c r="B976" s="0" t="b">
        <f aca="false">IF(IFERROR(DATE(2027,4,1)&gt;=DATE(2026,10,1)=FALSE(),FALSE()),FALSE(),IF(IFERROR(DATE(2027,4,1)&lt;=DATE(2027,12,1)=FALSE(),FALSE()),FALSE(),IF(IFERROR('Model inputs'!B975=FALSE(),FALSE()),FALSE(),IF('Model inputs'!B975="","",AND(DATE(2027,4,1)&gt;=DATE(2026,10,1),DATE(2027,4,1)&lt;=DATE(2027,12,1),'Model inputs'!B975)))))</f>
        <v>1</v>
      </c>
    </row>
    <row r="977" customFormat="false" ht="18" hidden="false" customHeight="false" outlineLevel="0" collapsed="false">
      <c r="A977" s="27" t="s">
        <v>438</v>
      </c>
      <c r="B977" s="0" t="b">
        <f aca="false">IF(ISERROR('Gainsay economics · Gainsay dat'!I17=MIN('Gainsay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dat'!I17=MIN('Gainsay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dat'!I17="",MIN('Gainsay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dat'!I17=MIN('Gainsay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78" customFormat="false" ht="18" hidden="false" customHeight="false" outlineLevel="0" collapsed="false">
      <c r="A978" s="27" t="s">
        <v>438</v>
      </c>
      <c r="B978" s="0" t="b">
        <f aca="false">IF(IFERROR(DATE(2027,5,1)&gt;=DATE(2026,10,1)=FALSE(),FALSE()),FALSE(),IF(IFERROR(DATE(2027,5,1)&lt;=DATE(2027,12,1)=FALSE(),FALSE()),FALSE(),IF(IFERROR('Model inputs'!B977=FALSE(),FALSE()),FALSE(),IF('Model inputs'!B977="","",AND(DATE(2027,5,1)&gt;=DATE(2026,10,1),DATE(2027,5,1)&lt;=DATE(2027,12,1),'Model inputs'!B977)))))</f>
        <v>0</v>
      </c>
    </row>
    <row r="979" customFormat="false" ht="18" hidden="false" customHeight="false" outlineLevel="0" collapsed="false">
      <c r="A979" s="27" t="s">
        <v>438</v>
      </c>
      <c r="B979" s="0" t="b">
        <f aca="false">IF(ISERROR('Gainsay economics · Gainsay dat'!J17=MIN('Gainsay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dat'!J17=MIN('Gainsay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dat'!J17="",MIN('Gainsay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dat'!J17=MIN('Gainsay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80" customFormat="false" ht="18" hidden="false" customHeight="false" outlineLevel="0" collapsed="false">
      <c r="A980" s="27" t="s">
        <v>438</v>
      </c>
      <c r="B980" s="0" t="b">
        <f aca="false">IF(IFERROR(DATE(2027,6,1)&gt;=DATE(2026,10,1)=FALSE(),FALSE()),FALSE(),IF(IFERROR(DATE(2027,6,1)&lt;=DATE(2027,12,1)=FALSE(),FALSE()),FALSE(),IF(IFERROR('Model inputs'!B979=FALSE(),FALSE()),FALSE(),IF('Model inputs'!B979="","",AND(DATE(2027,6,1)&gt;=DATE(2026,10,1),DATE(2027,6,1)&lt;=DATE(2027,12,1),'Model inputs'!B979)))))</f>
        <v>0</v>
      </c>
    </row>
    <row r="981" customFormat="false" ht="18" hidden="false" customHeight="false" outlineLevel="0" collapsed="false">
      <c r="A981" s="27" t="s">
        <v>438</v>
      </c>
      <c r="B981" s="0" t="b">
        <f aca="false">IF(ISERROR('Gainsay economics · Gainsay dat'!K17=MIN('Gainsay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dat'!K17=MIN('Gainsay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dat'!K17="",MIN('Gainsay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dat'!K17=MIN('Gainsay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82" customFormat="false" ht="18" hidden="false" customHeight="false" outlineLevel="0" collapsed="false">
      <c r="A982" s="27" t="s">
        <v>438</v>
      </c>
      <c r="B982" s="0" t="b">
        <f aca="false">IF(IFERROR(DATE(2027,7,1)&gt;=DATE(2026,10,1)=FALSE(),FALSE()),FALSE(),IF(IFERROR(DATE(2027,7,1)&lt;=DATE(2027,12,1)=FALSE(),FALSE()),FALSE(),IF(IFERROR('Model inputs'!B981=FALSE(),FALSE()),FALSE(),IF('Model inputs'!B981="","",AND(DATE(2027,7,1)&gt;=DATE(2026,10,1),DATE(2027,7,1)&lt;=DATE(2027,12,1),'Model inputs'!B981)))))</f>
        <v>0</v>
      </c>
    </row>
    <row r="983" customFormat="false" ht="18" hidden="false" customHeight="false" outlineLevel="0" collapsed="false">
      <c r="A983" s="27" t="s">
        <v>438</v>
      </c>
      <c r="B983" s="0" t="b">
        <f aca="false">IF(ISERROR('Gainsay economics · Gainsay dat'!L17=MIN('Gainsay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dat'!L17=MIN('Gainsay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dat'!L17="",MIN('Gainsay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dat'!L17=MIN('Gainsay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84" customFormat="false" ht="18" hidden="false" customHeight="false" outlineLevel="0" collapsed="false">
      <c r="A984" s="27" t="s">
        <v>438</v>
      </c>
      <c r="B984" s="0" t="b">
        <f aca="false">IF(IFERROR(DATE(2027,8,1)&gt;=DATE(2026,10,1)=FALSE(),FALSE()),FALSE(),IF(IFERROR(DATE(2027,8,1)&lt;=DATE(2027,12,1)=FALSE(),FALSE()),FALSE(),IF(IFERROR('Model inputs'!B983=FALSE(),FALSE()),FALSE(),IF('Model inputs'!B983="","",AND(DATE(2027,8,1)&gt;=DATE(2026,10,1),DATE(2027,8,1)&lt;=DATE(2027,12,1),'Model inputs'!B983)))))</f>
        <v>0</v>
      </c>
    </row>
    <row r="985" customFormat="false" ht="18" hidden="false" customHeight="false" outlineLevel="0" collapsed="false">
      <c r="A985" s="27" t="s">
        <v>438</v>
      </c>
      <c r="B985" s="0" t="b">
        <f aca="false">IF(ISERROR('Gainsay economics · Gainsay dat'!M17=MIN('Gainsay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dat'!M17=MIN('Gainsay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dat'!M17="",MIN('Gainsay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dat'!M17=MIN('Gainsay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86" customFormat="false" ht="18" hidden="false" customHeight="false" outlineLevel="0" collapsed="false">
      <c r="A986" s="27" t="s">
        <v>438</v>
      </c>
      <c r="B986" s="0" t="b">
        <f aca="false">IF(IFERROR(DATE(2027,9,1)&gt;=DATE(2026,10,1)=FALSE(),FALSE()),FALSE(),IF(IFERROR(DATE(2027,9,1)&lt;=DATE(2027,12,1)=FALSE(),FALSE()),FALSE(),IF(IFERROR('Model inputs'!B985=FALSE(),FALSE()),FALSE(),IF('Model inputs'!B985="","",AND(DATE(2027,9,1)&gt;=DATE(2026,10,1),DATE(2027,9,1)&lt;=DATE(2027,12,1),'Model inputs'!B985)))))</f>
        <v>0</v>
      </c>
    </row>
    <row r="987" customFormat="false" ht="18" hidden="false" customHeight="false" outlineLevel="0" collapsed="false">
      <c r="A987" s="27" t="s">
        <v>438</v>
      </c>
      <c r="B987" s="0" t="b">
        <f aca="false">IF(ISERROR('Gainsay economics · Gainsay dat'!N17=MIN('Gainsay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dat'!N17=MIN('Gainsay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dat'!N17="",MIN('Gainsay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dat'!N17=MIN('Gainsay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88" customFormat="false" ht="18" hidden="false" customHeight="false" outlineLevel="0" collapsed="false">
      <c r="A988" s="27" t="s">
        <v>438</v>
      </c>
      <c r="B988" s="0" t="b">
        <f aca="false">IF(IFERROR(DATE(2027,10,1)&gt;=DATE(2026,10,1)=FALSE(),FALSE()),FALSE(),IF(IFERROR(DATE(2027,10,1)&lt;=DATE(2027,12,1)=FALSE(),FALSE()),FALSE(),IF(IFERROR('Model inputs'!B987=FALSE(),FALSE()),FALSE(),IF('Model inputs'!B987="","",AND(DATE(2027,10,1)&gt;=DATE(2026,10,1),DATE(2027,10,1)&lt;=DATE(2027,12,1),'Model inputs'!B987)))))</f>
        <v>0</v>
      </c>
    </row>
    <row r="989" customFormat="false" ht="18" hidden="false" customHeight="false" outlineLevel="0" collapsed="false">
      <c r="A989" s="27" t="s">
        <v>438</v>
      </c>
      <c r="B989" s="0" t="b">
        <f aca="false">IF(ISERROR('Gainsay economics · Gainsay dat'!O17=MIN('Gainsay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dat'!O17=MIN('Gainsay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dat'!O17="",MIN('Gainsay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dat'!O17=MIN('Gainsay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90" customFormat="false" ht="18" hidden="false" customHeight="false" outlineLevel="0" collapsed="false">
      <c r="A990" s="27" t="s">
        <v>438</v>
      </c>
      <c r="B990" s="0" t="b">
        <f aca="false">IF(IFERROR(DATE(2027,11,1)&gt;=DATE(2026,10,1)=FALSE(),FALSE()),FALSE(),IF(IFERROR(DATE(2027,11,1)&lt;=DATE(2027,12,1)=FALSE(),FALSE()),FALSE(),IF(IFERROR('Model inputs'!B989=FALSE(),FALSE()),FALSE(),IF('Model inputs'!B989="","",AND(DATE(2027,11,1)&gt;=DATE(2026,10,1),DATE(2027,11,1)&lt;=DATE(2027,12,1),'Model inputs'!B989)))))</f>
        <v>0</v>
      </c>
    </row>
    <row r="991" customFormat="false" ht="18" hidden="false" customHeight="false" outlineLevel="0" collapsed="false">
      <c r="A991" s="27" t="s">
        <v>438</v>
      </c>
      <c r="B991" s="0" t="b">
        <f aca="false">IF(ISERROR('Gainsay economics · Gainsay dat'!P17=MIN('Gainsay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dat'!P17)),'Gainsay economics · Gainsay dat'!P17=MIN('Gainsay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dat'!P17),IF(OR('Gainsay economics · Gainsay dat'!P17="",MIN('Gainsay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dat'!P17)=""),"",'Gainsay economics · Gainsay dat'!P17=MIN('Gainsay economics · Gainsay dat'!B17,'Gainsay economics · Gainsay dat'!C17,'Gainsay economics · Gainsay dat'!D17,'Gainsay economics · Gainsay dat'!E17,'Gainsay economics · Gainsay dat'!F17,'Gainsay economics · Gainsay dat'!G17,'Gainsay economics · Gainsay dat'!H17,'Gainsay economics · Gainsay dat'!I17,'Gainsay economics · Gainsay dat'!J17,'Gainsay economics · Gainsay dat'!K17,'Gainsay economics · Gainsay dat'!L17,'Gainsay economics · Gainsay dat'!M17,'Gainsay economics · Gainsay dat'!N17,'Gainsay economics · Gainsay dat'!O17,'Gainsay economics · Gainsay dat'!P17)))</f>
        <v>0</v>
      </c>
    </row>
    <row r="992" customFormat="false" ht="18" hidden="false" customHeight="false" outlineLevel="0" collapsed="false">
      <c r="A992" s="27" t="s">
        <v>438</v>
      </c>
      <c r="B992" s="0" t="b">
        <f aca="false">IF(IFERROR(DATE(2027,12,1)&gt;=DATE(2026,10,1)=FALSE(),FALSE()),FALSE(),IF(IFERROR(DATE(2027,12,1)&lt;=DATE(2027,12,1)=FALSE(),FALSE()),FALSE(),IF(IFERROR('Model inputs'!B991=FALSE(),FALSE()),FALSE(),IF('Model inputs'!B991="","",AND(DATE(2027,12,1)&gt;=DATE(2026,10,1),DATE(2027,12,1)&lt;=DATE(2027,12,1),'Model inputs'!B991)))))</f>
        <v>0</v>
      </c>
    </row>
    <row r="993" customFormat="false" ht="18" hidden="false" customHeight="false" outlineLevel="0" collapsed="false">
      <c r="A993" s="27" t="s">
        <v>438</v>
      </c>
      <c r="B993" s="0" t="b">
        <f aca="false">IF(ISERROR('Model inputs'!B44=MIN('Model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inputs'!B44=MIN('Model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inputs'!B44="",MIN('Model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inputs'!B44=MIN('Model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994" customFormat="false" ht="18" hidden="false" customHeight="false" outlineLevel="0" collapsed="false">
      <c r="A994" s="27" t="s">
        <v>438</v>
      </c>
      <c r="B994" s="0" t="b">
        <f aca="false">IF(IFERROR(DATE(2026,1,1)&gt;=DATE(2026,10,1)=FALSE(),FALSE()),FALSE(),IF(IFERROR(DATE(2026,1,1)&lt;=DATE(2027,12,1)=FALSE(),FALSE()),FALSE(),IF(IFERROR('Model inputs'!B993=FALSE(),FALSE()),FALSE(),IF('Model inputs'!B993="","",AND(DATE(2026,1,1)&gt;=DATE(2026,10,1),DATE(2026,1,1)&lt;=DATE(2027,12,1),'Model inputs'!B993)))))</f>
        <v>0</v>
      </c>
    </row>
    <row r="995" customFormat="false" ht="18" hidden="false" customHeight="false" outlineLevel="0" collapsed="false">
      <c r="A995" s="27" t="s">
        <v>438</v>
      </c>
      <c r="B995" s="0" t="b">
        <f aca="false">IF(ISERROR('Model inputs'!C44=MIN('Model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inputs'!C44=MIN('Model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inputs'!C44="",MIN('Model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inputs'!C44=MIN('Model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996" customFormat="false" ht="18" hidden="false" customHeight="false" outlineLevel="0" collapsed="false">
      <c r="A996" s="27" t="s">
        <v>438</v>
      </c>
      <c r="B996" s="0" t="b">
        <f aca="false">IF(IFERROR(DATE(2026,2,1)&gt;=DATE(2026,10,1)=FALSE(),FALSE()),FALSE(),IF(IFERROR(DATE(2026,2,1)&lt;=DATE(2027,12,1)=FALSE(),FALSE()),FALSE(),IF(IFERROR('Model inputs'!B995=FALSE(),FALSE()),FALSE(),IF('Model inputs'!B995="","",AND(DATE(2026,2,1)&gt;=DATE(2026,10,1),DATE(2026,2,1)&lt;=DATE(2027,12,1),'Model inputs'!B995)))))</f>
        <v>0</v>
      </c>
    </row>
    <row r="997" customFormat="false" ht="18" hidden="false" customHeight="false" outlineLevel="0" collapsed="false">
      <c r="A997" s="27" t="s">
        <v>438</v>
      </c>
      <c r="B997" s="0" t="b">
        <f aca="false">IF(ISERROR('Model inputs'!D44=MIN('Model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inputs'!D44=MIN('Model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inputs'!D44="",MIN('Model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inputs'!D44=MIN('Model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998" customFormat="false" ht="18" hidden="false" customHeight="false" outlineLevel="0" collapsed="false">
      <c r="A998" s="27" t="s">
        <v>438</v>
      </c>
      <c r="B998" s="0" t="b">
        <f aca="false">IF(IFERROR(DATE(2026,3,1)&gt;=DATE(2026,10,1)=FALSE(),FALSE()),FALSE(),IF(IFERROR(DATE(2026,3,1)&lt;=DATE(2027,12,1)=FALSE(),FALSE()),FALSE(),IF(IFERROR('Model inputs'!B997=FALSE(),FALSE()),FALSE(),IF('Model inputs'!B997="","",AND(DATE(2026,3,1)&gt;=DATE(2026,10,1),DATE(2026,3,1)&lt;=DATE(2027,12,1),'Model inputs'!B997)))))</f>
        <v>0</v>
      </c>
    </row>
    <row r="999" customFormat="false" ht="18" hidden="false" customHeight="false" outlineLevel="0" collapsed="false">
      <c r="A999" s="27" t="s">
        <v>438</v>
      </c>
      <c r="B999" s="0" t="b">
        <f aca="false">IF(ISERROR('Model inputs'!E44=MIN('Model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inputs'!E44=MIN('Model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inputs'!E44="",MIN('Model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inputs'!E44=MIN('Model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1000" customFormat="false" ht="18" hidden="false" customHeight="false" outlineLevel="0" collapsed="false">
      <c r="A1000" s="27" t="s">
        <v>438</v>
      </c>
      <c r="B1000" s="0" t="b">
        <f aca="false">IF(IFERROR(DATE(2026,4,1)&gt;=DATE(2026,10,1)=FALSE(),FALSE()),FALSE(),IF(IFERROR(DATE(2026,4,1)&lt;=DATE(2027,12,1)=FALSE(),FALSE()),FALSE(),IF(IFERROR('Model inputs'!B999=FALSE(),FALSE()),FALSE(),IF('Model inputs'!B999="","",AND(DATE(2026,4,1)&gt;=DATE(2026,10,1),DATE(2026,4,1)&lt;=DATE(2027,12,1),'Model inputs'!B999)))))</f>
        <v>0</v>
      </c>
    </row>
    <row r="1001" customFormat="false" ht="18" hidden="false" customHeight="false" outlineLevel="0" collapsed="false">
      <c r="A1001" s="27" t="s">
        <v>438</v>
      </c>
      <c r="B1001" s="0" t="b">
        <f aca="false">IF(ISERROR('Model inputs'!F44=MIN('Model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inputs'!F44=MIN('Model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inputs'!F44="",MIN('Model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inputs'!F44=MIN('Model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1002" customFormat="false" ht="18" hidden="false" customHeight="false" outlineLevel="0" collapsed="false">
      <c r="A1002" s="27" t="s">
        <v>438</v>
      </c>
      <c r="B1002" s="0" t="b">
        <f aca="false">IF(IFERROR(DATE(2026,5,1)&gt;=DATE(2026,10,1)=FALSE(),FALSE()),FALSE(),IF(IFERROR(DATE(2026,5,1)&lt;=DATE(2027,12,1)=FALSE(),FALSE()),FALSE(),IF(IFERROR('Model inputs'!B1001=FALSE(),FALSE()),FALSE(),IF('Model inputs'!B1001="","",AND(DATE(2026,5,1)&gt;=DATE(2026,10,1),DATE(2026,5,1)&lt;=DATE(2027,12,1),'Model inputs'!B1001)))))</f>
        <v>0</v>
      </c>
    </row>
    <row r="1003" customFormat="false" ht="18" hidden="false" customHeight="false" outlineLevel="0" collapsed="false">
      <c r="A1003" s="27" t="s">
        <v>438</v>
      </c>
      <c r="B1003" s="0" t="b">
        <f aca="false">IF(ISERROR('Model inputs'!G44=MIN('Model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inputs'!G44=MIN('Model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inputs'!G44="",MIN('Model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inputs'!G44=MIN('Model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1004" customFormat="false" ht="18" hidden="false" customHeight="false" outlineLevel="0" collapsed="false">
      <c r="A1004" s="27" t="s">
        <v>438</v>
      </c>
      <c r="B1004" s="0" t="b">
        <f aca="false">IF(IFERROR(DATE(2026,6,1)&gt;=DATE(2026,10,1)=FALSE(),FALSE()),FALSE(),IF(IFERROR(DATE(2026,6,1)&lt;=DATE(2027,12,1)=FALSE(),FALSE()),FALSE(),IF(IFERROR('Model inputs'!B1003=FALSE(),FALSE()),FALSE(),IF('Model inputs'!B1003="","",AND(DATE(2026,6,1)&gt;=DATE(2026,10,1),DATE(2026,6,1)&lt;=DATE(2027,12,1),'Model inputs'!B1003)))))</f>
        <v>0</v>
      </c>
    </row>
    <row r="1005" customFormat="false" ht="18" hidden="false" customHeight="false" outlineLevel="0" collapsed="false">
      <c r="A1005" s="27" t="s">
        <v>438</v>
      </c>
      <c r="B1005" s="0" t="b">
        <f aca="false">IF(ISERROR('Model inputs'!H44=MIN('Model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inputs'!H44=MIN('Model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inputs'!H44="",MIN('Model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inputs'!H44=MIN('Model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1006" customFormat="false" ht="18" hidden="false" customHeight="false" outlineLevel="0" collapsed="false">
      <c r="A1006" s="27" t="s">
        <v>438</v>
      </c>
      <c r="B1006" s="0" t="b">
        <f aca="false">IF(IFERROR(DATE(2026,7,1)&gt;=DATE(2026,10,1)=FALSE(),FALSE()),FALSE(),IF(IFERROR(DATE(2026,7,1)&lt;=DATE(2027,12,1)=FALSE(),FALSE()),FALSE(),IF(IFERROR('Model inputs'!B1005=FALSE(),FALSE()),FALSE(),IF('Model inputs'!B1005="","",AND(DATE(2026,7,1)&gt;=DATE(2026,10,1),DATE(2026,7,1)&lt;=DATE(2027,12,1),'Model inputs'!B1005)))))</f>
        <v>0</v>
      </c>
    </row>
    <row r="1007" customFormat="false" ht="18" hidden="false" customHeight="false" outlineLevel="0" collapsed="false">
      <c r="A1007" s="27" t="s">
        <v>438</v>
      </c>
      <c r="B1007" s="0" t="b">
        <f aca="false">IF(ISERROR('Model inputs'!I44=MIN('Model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inputs'!I44=MIN('Model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inputs'!I44="",MIN('Model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inputs'!I44=MIN('Model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1008" customFormat="false" ht="18" hidden="false" customHeight="false" outlineLevel="0" collapsed="false">
      <c r="A1008" s="27" t="s">
        <v>438</v>
      </c>
      <c r="B1008" s="0" t="b">
        <f aca="false">IF(IFERROR(DATE(2026,8,1)&gt;=DATE(2026,10,1)=FALSE(),FALSE()),FALSE(),IF(IFERROR(DATE(2026,8,1)&lt;=DATE(2027,12,1)=FALSE(),FALSE()),FALSE(),IF(IFERROR('Model inputs'!B1007=FALSE(),FALSE()),FALSE(),IF('Model inputs'!B1007="","",AND(DATE(2026,8,1)&gt;=DATE(2026,10,1),DATE(2026,8,1)&lt;=DATE(2027,12,1),'Model inputs'!B1007)))))</f>
        <v>0</v>
      </c>
    </row>
    <row r="1009" customFormat="false" ht="18" hidden="false" customHeight="false" outlineLevel="0" collapsed="false">
      <c r="A1009" s="27" t="s">
        <v>438</v>
      </c>
      <c r="B1009" s="0" t="b">
        <f aca="false">IF(ISERROR('Model inputs'!J44=MIN('Model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inputs'!Y44)),'Model inputs'!J44=MIN('Model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inputs'!Y44),IF(OR('Model inputs'!J44="",MIN('Model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inputs'!Y44)=""),"",'Model inputs'!J44=MIN('Model inputs'!K44,'Model inputs'!L44,'Model inputs'!M44,'Model inputs'!N44,'Model inputs'!O44,'Model inputs'!P44,'Model inputs'!Q44,'Model inputs'!R44,'Model inputs'!S44,'Model inputs'!T44,'Model inputs'!U44,'Model inputs'!V44,'Model inputs'!W44,'Model inputs'!X44,'Model inputs'!Y44)))</f>
        <v>0</v>
      </c>
    </row>
    <row r="1010" customFormat="false" ht="18" hidden="false" customHeight="false" outlineLevel="0" collapsed="false">
      <c r="A1010" s="27" t="s">
        <v>438</v>
      </c>
      <c r="B1010" s="0" t="b">
        <f aca="false">IF(IFERROR(DATE(2026,9,1)&gt;=DATE(2026,10,1)=FALSE(),FALSE()),FALSE(),IF(IFERROR(DATE(2026,9,1)&lt;=DATE(2027,12,1)=FALSE(),FALSE()),FALSE(),IF(IFERROR('Model inputs'!B1009=FALSE(),FALSE()),FALSE(),IF('Model inputs'!B1009="","",AND(DATE(2026,9,1)&gt;=DATE(2026,10,1),DATE(2026,9,1)&lt;=DATE(2027,12,1),'Model inputs'!B1009)))))</f>
        <v>0</v>
      </c>
    </row>
    <row r="1011" customFormat="false" ht="18" hidden="false" customHeight="false" outlineLevel="0" collapsed="false">
      <c r="A1011" s="27" t="s">
        <v>438</v>
      </c>
      <c r="B1011" s="0" t="str">
        <f aca="false">IF(IF('Model inputs'!B964="",FALSE(),'Model inputs'!B964),'Gainsay economics · Gainsay ope'!B42,"")</f>
        <v/>
      </c>
    </row>
    <row r="1012" customFormat="false" ht="18" hidden="false" customHeight="false" outlineLevel="0" collapsed="false">
      <c r="A1012" s="27" t="s">
        <v>438</v>
      </c>
      <c r="B1012" s="0" t="str">
        <f aca="false">IF(IF('Model inputs'!B966="",FALSE(),'Model inputs'!B966),'Gainsay economics · Gainsay ope'!C42,"")</f>
        <v/>
      </c>
    </row>
    <row r="1013" customFormat="false" ht="18" hidden="false" customHeight="false" outlineLevel="0" collapsed="false">
      <c r="A1013" s="27" t="s">
        <v>438</v>
      </c>
      <c r="B1013" s="0" t="str">
        <f aca="false">IF(IF('Model inputs'!B968="",FALSE(),'Model inputs'!B968),'Gainsay economics · Gainsay ope'!D42,"")</f>
        <v/>
      </c>
    </row>
    <row r="1014" customFormat="false" ht="18" hidden="false" customHeight="false" outlineLevel="0" collapsed="false">
      <c r="A1014" s="27" t="s">
        <v>438</v>
      </c>
      <c r="B1014" s="0" t="str">
        <f aca="false">IF(IF('Model inputs'!B970="",FALSE(),'Model inputs'!B970),'Gainsay economics · Gainsay ope'!E42,"")</f>
        <v/>
      </c>
    </row>
    <row r="1015" customFormat="false" ht="18" hidden="false" customHeight="false" outlineLevel="0" collapsed="false">
      <c r="A1015" s="27" t="s">
        <v>438</v>
      </c>
      <c r="B1015" s="0" t="str">
        <f aca="false">IF(IF('Model inputs'!B972="",FALSE(),'Model inputs'!B972),'Gainsay economics · Gainsay ope'!F42,"")</f>
        <v/>
      </c>
    </row>
    <row r="1016" customFormat="false" ht="18" hidden="false" customHeight="false" outlineLevel="0" collapsed="false">
      <c r="A1016" s="27" t="s">
        <v>438</v>
      </c>
      <c r="B1016" s="0" t="str">
        <f aca="false">IF(IF('Model inputs'!B974="",FALSE(),'Model inputs'!B974),'Gainsay economics · Gainsay ope'!G42,"")</f>
        <v/>
      </c>
    </row>
    <row r="1017" customFormat="false" ht="18" hidden="false" customHeight="false" outlineLevel="0" collapsed="false">
      <c r="A1017" s="27" t="s">
        <v>438</v>
      </c>
      <c r="B1017" s="0" t="n">
        <f aca="false">IF(IF('Model inputs'!B976="",FALSE(),'Model inputs'!B976),'Gainsay economics · Gainsay ope'!H42,"")</f>
        <v>7</v>
      </c>
    </row>
    <row r="1018" customFormat="false" ht="18" hidden="false" customHeight="false" outlineLevel="0" collapsed="false">
      <c r="A1018" s="27" t="s">
        <v>438</v>
      </c>
      <c r="B1018" s="0" t="str">
        <f aca="false">IF(IF('Model inputs'!B978="",FALSE(),'Model inputs'!B978),'Gainsay economics · Gainsay ope'!I42,"")</f>
        <v/>
      </c>
    </row>
    <row r="1019" customFormat="false" ht="18" hidden="false" customHeight="false" outlineLevel="0" collapsed="false">
      <c r="A1019" s="27" t="s">
        <v>438</v>
      </c>
      <c r="B1019" s="0" t="str">
        <f aca="false">IF(IF('Model inputs'!B980="",FALSE(),'Model inputs'!B980),'Gainsay economics · Gainsay ope'!J42,"")</f>
        <v/>
      </c>
    </row>
    <row r="1020" customFormat="false" ht="18" hidden="false" customHeight="false" outlineLevel="0" collapsed="false">
      <c r="A1020" s="27" t="s">
        <v>438</v>
      </c>
      <c r="B1020" s="0" t="str">
        <f aca="false">IF(IF('Model inputs'!B982="",FALSE(),'Model inputs'!B982),'Gainsay economics · Gainsay ope'!K42,"")</f>
        <v/>
      </c>
    </row>
    <row r="1021" customFormat="false" ht="18" hidden="false" customHeight="false" outlineLevel="0" collapsed="false">
      <c r="A1021" s="27" t="s">
        <v>438</v>
      </c>
      <c r="B1021" s="0" t="str">
        <f aca="false">IF(IF('Model inputs'!B984="",FALSE(),'Model inputs'!B984),'Gainsay economics · Gainsay ope'!L42,"")</f>
        <v/>
      </c>
    </row>
    <row r="1022" customFormat="false" ht="18" hidden="false" customHeight="false" outlineLevel="0" collapsed="false">
      <c r="A1022" s="27" t="s">
        <v>438</v>
      </c>
      <c r="B1022" s="0" t="str">
        <f aca="false">IF(IF('Model inputs'!B986="",FALSE(),'Model inputs'!B986),'Gainsay economics · Gainsay ope'!M42,"")</f>
        <v/>
      </c>
    </row>
    <row r="1023" customFormat="false" ht="18" hidden="false" customHeight="false" outlineLevel="0" collapsed="false">
      <c r="A1023" s="27" t="s">
        <v>438</v>
      </c>
      <c r="B1023" s="0" t="str">
        <f aca="false">IF(IF('Model inputs'!B988="",FALSE(),'Model inputs'!B988),'Gainsay economics · Gainsay ope'!N42,"")</f>
        <v/>
      </c>
    </row>
    <row r="1024" customFormat="false" ht="18" hidden="false" customHeight="false" outlineLevel="0" collapsed="false">
      <c r="A1024" s="27" t="s">
        <v>438</v>
      </c>
      <c r="B1024" s="0" t="str">
        <f aca="false">IF(IF('Model inputs'!B990="",FALSE(),'Model inputs'!B990),'Gainsay economics · Gainsay ope'!O42,"")</f>
        <v/>
      </c>
    </row>
    <row r="1025" customFormat="false" ht="18" hidden="false" customHeight="false" outlineLevel="0" collapsed="false">
      <c r="A1025" s="27" t="s">
        <v>438</v>
      </c>
      <c r="B1025" s="0" t="str">
        <f aca="false">IF(IF('Model inputs'!B992="",FALSE(),'Model inputs'!B992),'Gainsay economics · Gainsay ope'!P42,"")</f>
        <v/>
      </c>
    </row>
    <row r="1026" customFormat="false" ht="18" hidden="false" customHeight="false" outlineLevel="0" collapsed="false">
      <c r="A1026" s="27" t="s">
        <v>438</v>
      </c>
      <c r="B1026" s="0" t="str">
        <f aca="false">IF(IF('Model inputs'!B994="",FALSE(),'Model inputs'!B994),'Model inputs'!B97,"")</f>
        <v/>
      </c>
    </row>
    <row r="1027" customFormat="false" ht="18" hidden="false" customHeight="false" outlineLevel="0" collapsed="false">
      <c r="A1027" s="27" t="s">
        <v>438</v>
      </c>
      <c r="B1027" s="0" t="str">
        <f aca="false">IF(IF('Model inputs'!B996="",FALSE(),'Model inputs'!B996),'Model inputs'!C97,"")</f>
        <v/>
      </c>
    </row>
    <row r="1028" customFormat="false" ht="18" hidden="false" customHeight="false" outlineLevel="0" collapsed="false">
      <c r="A1028" s="27" t="s">
        <v>438</v>
      </c>
      <c r="B1028" s="0" t="str">
        <f aca="false">IF(IF('Model inputs'!B998="",FALSE(),'Model inputs'!B998),'Model inputs'!D97,"")</f>
        <v/>
      </c>
    </row>
    <row r="1029" customFormat="false" ht="18" hidden="false" customHeight="false" outlineLevel="0" collapsed="false">
      <c r="A1029" s="27" t="s">
        <v>438</v>
      </c>
      <c r="B1029" s="0" t="str">
        <f aca="false">IF(IF('Model inputs'!B1000="",FALSE(),'Model inputs'!B1000),'Model inputs'!E97,"")</f>
        <v/>
      </c>
    </row>
    <row r="1030" customFormat="false" ht="18" hidden="false" customHeight="false" outlineLevel="0" collapsed="false">
      <c r="A1030" s="27" t="s">
        <v>438</v>
      </c>
      <c r="B1030" s="0" t="str">
        <f aca="false">IF(IF('Model inputs'!B1002="",FALSE(),'Model inputs'!B1002),'Model inputs'!F97,"")</f>
        <v/>
      </c>
    </row>
    <row r="1031" customFormat="false" ht="18" hidden="false" customHeight="false" outlineLevel="0" collapsed="false">
      <c r="A1031" s="27" t="s">
        <v>438</v>
      </c>
      <c r="B1031" s="0" t="str">
        <f aca="false">IF(IF('Model inputs'!B1004="",FALSE(),'Model inputs'!B1004),'Model inputs'!G97,"")</f>
        <v/>
      </c>
    </row>
    <row r="1032" customFormat="false" ht="18" hidden="false" customHeight="false" outlineLevel="0" collapsed="false">
      <c r="A1032" s="27" t="s">
        <v>438</v>
      </c>
      <c r="B1032" s="0" t="str">
        <f aca="false">IF(IF('Model inputs'!B1006="",FALSE(),'Model inputs'!B1006),'Model inputs'!H97,"")</f>
        <v/>
      </c>
    </row>
    <row r="1033" customFormat="false" ht="18" hidden="false" customHeight="false" outlineLevel="0" collapsed="false">
      <c r="A1033" s="27" t="s">
        <v>438</v>
      </c>
      <c r="B1033" s="0" t="str">
        <f aca="false">IF(IF('Model inputs'!B1008="",FALSE(),'Model inputs'!B1008),'Model inputs'!I97,"")</f>
        <v/>
      </c>
    </row>
    <row r="1034" customFormat="false" ht="18" hidden="false" customHeight="false" outlineLevel="0" collapsed="false">
      <c r="A1034" s="27" t="s">
        <v>438</v>
      </c>
      <c r="B1034" s="0" t="str">
        <f aca="false">IF(IF('Model inputs'!B1010="",FALSE(),'Model inputs'!B1010),'Model inputs'!J97,"")</f>
        <v/>
      </c>
    </row>
    <row r="1035" customFormat="false" ht="18" hidden="false" customHeight="false" outlineLevel="0" collapsed="false">
      <c r="A1035" s="27" t="s">
        <v>438</v>
      </c>
      <c r="B1035" s="0" t="n">
        <f aca="false">(IF(AND('Model inputs'!B1011="",'Model inputs'!B1012="",'Model inputs'!B1013="",'Model inputs'!B1014="",'Model inputs'!B1015="",'Model inputs'!B1016="",'Model inputs'!B1017="",'Model inputs'!B1018="",'Model inputs'!B1019="",'Model inputs'!B1020="",'Model inputs'!B1021="",'Model inputs'!B1022="",'Model inputs'!B1023="",'Model inputs'!B1024="",'Model inputs'!B1025="",'Model inputs'!B1026="",'Model inputs'!B1027="",'Model inputs'!B1028="",'Model inputs'!B1029="",'Model inputs'!B1030="",'Model inputs'!B1031="",'Model inputs'!B1032="",'Model inputs'!B1033="",'Model inputs'!B1034=""),"",MIN('Model inputs'!B1011,'Model inputs'!B1012,'Model inputs'!B1013,'Model inputs'!B1014,'Model inputs'!B1015,'Model inputs'!B1016,'Model inputs'!B1017,'Model inputs'!B1018,'Model inputs'!B1019,'Model inputs'!B1020,'Model inputs'!B1021,'Model inputs'!B1022,'Model inputs'!B1023,'Model inputs'!B1024,'Model inputs'!B1025,'Model inputs'!B1026,'Model inputs'!B1027,'Model inputs'!B1028,'Model inputs'!B1029,'Model inputs'!B1030,'Model inputs'!B1031,'Model inputs'!B1032,'Model inputs'!B1033,'Model inputs'!B1034)))</f>
        <v>7</v>
      </c>
    </row>
    <row r="1036" customFormat="false" ht="18" hidden="false" customHeight="false" outlineLevel="0" collapsed="false">
      <c r="A1036" s="27" t="s">
        <v>438</v>
      </c>
      <c r="B1036" s="0" t="b">
        <f aca="false">IF(ISERROR('Gainsay economics · Gainsay ope'!B47&gt;0),'Gainsay economics · Gainsay ope'!B47&gt;0,IF('Gainsay economics · Gainsay ope'!B47="","",'Gainsay economics · Gainsay ope'!B47&gt;0))</f>
        <v>0</v>
      </c>
    </row>
    <row r="1037" customFormat="false" ht="18" hidden="false" customHeight="false" outlineLevel="0" collapsed="false">
      <c r="A1037" s="27" t="s">
        <v>438</v>
      </c>
      <c r="B1037" s="0" t="b">
        <f aca="false">IF(ISERROR('Gainsay economics · Gainsay ope'!C47&gt;0),'Gainsay economics · Gainsay ope'!C47&gt;0,IF('Gainsay economics · Gainsay ope'!C47="","",'Gainsay economics · Gainsay ope'!C47&gt;0))</f>
        <v>0</v>
      </c>
    </row>
    <row r="1038" customFormat="false" ht="18" hidden="false" customHeight="false" outlineLevel="0" collapsed="false">
      <c r="A1038" s="27" t="s">
        <v>438</v>
      </c>
      <c r="B1038" s="0" t="b">
        <f aca="false">IF(ISERROR('Gainsay economics · Gainsay ope'!D47&gt;0),'Gainsay economics · Gainsay ope'!D47&gt;0,IF('Gainsay economics · Gainsay ope'!D47="","",'Gainsay economics · Gainsay ope'!D47&gt;0))</f>
        <v>0</v>
      </c>
    </row>
    <row r="1039" customFormat="false" ht="18" hidden="false" customHeight="false" outlineLevel="0" collapsed="false">
      <c r="A1039" s="27" t="s">
        <v>438</v>
      </c>
      <c r="B1039" s="0" t="b">
        <f aca="false">IF(ISERROR('Gainsay economics · Gainsay ope'!E47&gt;0),'Gainsay economics · Gainsay ope'!E47&gt;0,IF('Gainsay economics · Gainsay ope'!E47="","",'Gainsay economics · Gainsay ope'!E47&gt;0))</f>
        <v>1</v>
      </c>
    </row>
    <row r="1040" customFormat="false" ht="18" hidden="false" customHeight="false" outlineLevel="0" collapsed="false">
      <c r="A1040" s="27" t="s">
        <v>438</v>
      </c>
      <c r="B1040" s="0" t="b">
        <f aca="false">IF(ISERROR('Gainsay economics · Gainsay ope'!F47&gt;0),'Gainsay economics · Gainsay ope'!F47&gt;0,IF('Gainsay economics · Gainsay ope'!F47="","",'Gainsay economics · Gainsay ope'!F47&gt;0))</f>
        <v>1</v>
      </c>
    </row>
    <row r="1041" customFormat="false" ht="18" hidden="false" customHeight="false" outlineLevel="0" collapsed="false">
      <c r="A1041" s="27" t="s">
        <v>438</v>
      </c>
      <c r="B1041" s="0" t="b">
        <f aca="false">IF(ISERROR('Gainsay economics · Gainsay ope'!G47&gt;0),'Gainsay economics · Gainsay ope'!G47&gt;0,IF('Gainsay economics · Gainsay ope'!G47="","",'Gainsay economics · Gainsay ope'!G47&gt;0))</f>
        <v>1</v>
      </c>
    </row>
    <row r="1042" customFormat="false" ht="18" hidden="false" customHeight="false" outlineLevel="0" collapsed="false">
      <c r="A1042" s="27" t="s">
        <v>438</v>
      </c>
      <c r="B1042" s="0" t="b">
        <f aca="false">IF(ISERROR('Gainsay economics · Gainsay ope'!H47&gt;0),'Gainsay economics · Gainsay ope'!H47&gt;0,IF('Gainsay economics · Gainsay ope'!H47="","",'Gainsay economics · Gainsay ope'!H47&gt;0))</f>
        <v>1</v>
      </c>
    </row>
    <row r="1043" customFormat="false" ht="18" hidden="false" customHeight="false" outlineLevel="0" collapsed="false">
      <c r="A1043" s="27" t="s">
        <v>438</v>
      </c>
      <c r="B1043" s="0" t="b">
        <f aca="false">IF(ISERROR('Gainsay economics · Gainsay ope'!I47&gt;0),'Gainsay economics · Gainsay ope'!I47&gt;0,IF('Gainsay economics · Gainsay ope'!I47="","",'Gainsay economics · Gainsay ope'!I47&gt;0))</f>
        <v>1</v>
      </c>
    </row>
    <row r="1044" customFormat="false" ht="18" hidden="false" customHeight="false" outlineLevel="0" collapsed="false">
      <c r="A1044" s="27" t="s">
        <v>438</v>
      </c>
      <c r="B1044" s="0" t="b">
        <f aca="false">IF(ISERROR('Gainsay economics · Gainsay ope'!J47&gt;0),'Gainsay economics · Gainsay ope'!J47&gt;0,IF('Gainsay economics · Gainsay ope'!J47="","",'Gainsay economics · Gainsay ope'!J47&gt;0))</f>
        <v>1</v>
      </c>
    </row>
    <row r="1045" customFormat="false" ht="18" hidden="false" customHeight="false" outlineLevel="0" collapsed="false">
      <c r="A1045" s="27" t="s">
        <v>438</v>
      </c>
      <c r="B1045" s="0" t="b">
        <f aca="false">IF(ISERROR('Gainsay economics · Gainsay ope'!K47&gt;0),'Gainsay economics · Gainsay ope'!K47&gt;0,IF('Gainsay economics · Gainsay ope'!K47="","",'Gainsay economics · Gainsay ope'!K47&gt;0))</f>
        <v>1</v>
      </c>
    </row>
    <row r="1046" customFormat="false" ht="18" hidden="false" customHeight="false" outlineLevel="0" collapsed="false">
      <c r="A1046" s="27" t="s">
        <v>438</v>
      </c>
      <c r="B1046" s="0" t="b">
        <f aca="false">IF(ISERROR('Gainsay economics · Gainsay ope'!L47&gt;0),'Gainsay economics · Gainsay ope'!L47&gt;0,IF('Gainsay economics · Gainsay ope'!L47="","",'Gainsay economics · Gainsay ope'!L47&gt;0))</f>
        <v>1</v>
      </c>
    </row>
    <row r="1047" customFormat="false" ht="18" hidden="false" customHeight="false" outlineLevel="0" collapsed="false">
      <c r="A1047" s="27" t="s">
        <v>438</v>
      </c>
      <c r="B1047" s="0" t="b">
        <f aca="false">IF(ISERROR('Gainsay economics · Gainsay ope'!M47&gt;0),'Gainsay economics · Gainsay ope'!M47&gt;0,IF('Gainsay economics · Gainsay ope'!M47="","",'Gainsay economics · Gainsay ope'!M47&gt;0))</f>
        <v>1</v>
      </c>
    </row>
    <row r="1048" customFormat="false" ht="18" hidden="false" customHeight="false" outlineLevel="0" collapsed="false">
      <c r="A1048" s="27" t="s">
        <v>438</v>
      </c>
      <c r="B1048" s="0" t="b">
        <f aca="false">IF(ISERROR('Gainsay economics · Gainsay ope'!N47&gt;0),'Gainsay economics · Gainsay ope'!N47&gt;0,IF('Gainsay economics · Gainsay ope'!N47="","",'Gainsay economics · Gainsay ope'!N47&gt;0))</f>
        <v>1</v>
      </c>
    </row>
    <row r="1049" customFormat="false" ht="18" hidden="false" customHeight="false" outlineLevel="0" collapsed="false">
      <c r="A1049" s="27" t="s">
        <v>438</v>
      </c>
      <c r="B1049" s="0" t="b">
        <f aca="false">IF(ISERROR('Gainsay economics · Gainsay ope'!O47&gt;0),'Gainsay economics · Gainsay ope'!O47&gt;0,IF('Gainsay economics · Gainsay ope'!O47="","",'Gainsay economics · Gainsay ope'!O47&gt;0))</f>
        <v>1</v>
      </c>
    </row>
    <row r="1050" customFormat="false" ht="18" hidden="false" customHeight="false" outlineLevel="0" collapsed="false">
      <c r="A1050" s="27" t="s">
        <v>438</v>
      </c>
      <c r="B1050" s="0" t="b">
        <f aca="false">IF(ISERROR('Gainsay economics · Gainsay ope'!B48&gt;0),'Gainsay economics · Gainsay ope'!B48&gt;0,IF('Gainsay economics · Gainsay ope'!B48="","",'Gainsay economics · Gainsay ope'!B48&gt;0))</f>
        <v>0</v>
      </c>
    </row>
    <row r="1051" customFormat="false" ht="18" hidden="false" customHeight="false" outlineLevel="0" collapsed="false">
      <c r="A1051" s="27" t="s">
        <v>438</v>
      </c>
      <c r="B1051" s="0" t="b">
        <f aca="false">IF(ISERROR('Gainsay economics · Gainsay ope'!C48&gt;0),'Gainsay economics · Gainsay ope'!C48&gt;0,IF('Gainsay economics · Gainsay ope'!C48="","",'Gainsay economics · Gainsay ope'!C48&gt;0))</f>
        <v>0</v>
      </c>
    </row>
    <row r="1052" customFormat="false" ht="18" hidden="false" customHeight="false" outlineLevel="0" collapsed="false">
      <c r="A1052" s="27" t="s">
        <v>438</v>
      </c>
      <c r="B1052" s="0" t="b">
        <f aca="false">IF(ISERROR('Gainsay economics · Gainsay ope'!D48&gt;0),'Gainsay economics · Gainsay ope'!D48&gt;0,IF('Gainsay economics · Gainsay ope'!D48="","",'Gainsay economics · Gainsay ope'!D48&gt;0))</f>
        <v>0</v>
      </c>
    </row>
    <row r="1053" customFormat="false" ht="18" hidden="false" customHeight="false" outlineLevel="0" collapsed="false">
      <c r="A1053" s="27" t="s">
        <v>438</v>
      </c>
      <c r="B1053" s="0" t="b">
        <f aca="false">IF(ISERROR('Gainsay economics · Gainsay ope'!E48&gt;0),'Gainsay economics · Gainsay ope'!E48&gt;0,IF('Gainsay economics · Gainsay ope'!E48="","",'Gainsay economics · Gainsay ope'!E48&gt;0))</f>
        <v>0</v>
      </c>
    </row>
    <row r="1054" customFormat="false" ht="18" hidden="false" customHeight="false" outlineLevel="0" collapsed="false">
      <c r="A1054" s="27" t="s">
        <v>438</v>
      </c>
      <c r="B1054" s="0" t="b">
        <f aca="false">IF(ISERROR('Gainsay economics · Gainsay ope'!F48&gt;0),'Gainsay economics · Gainsay ope'!F48&gt;0,IF('Gainsay economics · Gainsay ope'!F48="","",'Gainsay economics · Gainsay ope'!F48&gt;0))</f>
        <v>0</v>
      </c>
    </row>
    <row r="1055" customFormat="false" ht="18" hidden="false" customHeight="false" outlineLevel="0" collapsed="false">
      <c r="A1055" s="27" t="s">
        <v>438</v>
      </c>
      <c r="B1055" s="0" t="b">
        <f aca="false">IF(ISERROR('Gainsay economics · Gainsay ope'!G48&gt;0),'Gainsay economics · Gainsay ope'!G48&gt;0,IF('Gainsay economics · Gainsay ope'!G48="","",'Gainsay economics · Gainsay ope'!G48&gt;0))</f>
        <v>0</v>
      </c>
    </row>
    <row r="1056" customFormat="false" ht="18" hidden="false" customHeight="false" outlineLevel="0" collapsed="false">
      <c r="A1056" s="27" t="s">
        <v>438</v>
      </c>
      <c r="B1056" s="0" t="b">
        <f aca="false">IF(ISERROR('Gainsay economics · Gainsay ope'!H48&gt;0),'Gainsay economics · Gainsay ope'!H48&gt;0,IF('Gainsay economics · Gainsay ope'!H48="","",'Gainsay economics · Gainsay ope'!H48&gt;0))</f>
        <v>0</v>
      </c>
    </row>
    <row r="1057" customFormat="false" ht="18" hidden="false" customHeight="false" outlineLevel="0" collapsed="false">
      <c r="A1057" s="27" t="s">
        <v>438</v>
      </c>
      <c r="B1057" s="0" t="b">
        <f aca="false">IF(ISERROR('Gainsay economics · Gainsay ope'!I48&gt;0),'Gainsay economics · Gainsay ope'!I48&gt;0,IF('Gainsay economics · Gainsay ope'!I48="","",'Gainsay economics · Gainsay ope'!I48&gt;0))</f>
        <v>0</v>
      </c>
    </row>
    <row r="1058" customFormat="false" ht="18" hidden="false" customHeight="false" outlineLevel="0" collapsed="false">
      <c r="A1058" s="27" t="s">
        <v>438</v>
      </c>
      <c r="B1058" s="0" t="b">
        <f aca="false">IF(ISERROR('Gainsay economics · Gainsay ope'!J48&gt;0),'Gainsay economics · Gainsay ope'!J48&gt;0,IF('Gainsay economics · Gainsay ope'!J48="","",'Gainsay economics · Gainsay ope'!J48&gt;0))</f>
        <v>0</v>
      </c>
    </row>
    <row r="1059" customFormat="false" ht="18" hidden="false" customHeight="false" outlineLevel="0" collapsed="false">
      <c r="A1059" s="27" t="s">
        <v>438</v>
      </c>
      <c r="B1059" s="0" t="b">
        <f aca="false">IF(ISERROR('Gainsay economics · Gainsay ope'!K48&gt;0),'Gainsay economics · Gainsay ope'!K48&gt;0,IF('Gainsay economics · Gainsay ope'!K48="","",'Gainsay economics · Gainsay ope'!K48&gt;0))</f>
        <v>1</v>
      </c>
    </row>
    <row r="1060" customFormat="false" ht="18" hidden="false" customHeight="false" outlineLevel="0" collapsed="false">
      <c r="A1060" s="27" t="s">
        <v>438</v>
      </c>
      <c r="B1060" s="0" t="b">
        <f aca="false">IF(ISERROR('Gainsay economics · Gainsay ope'!L48&gt;0),'Gainsay economics · Gainsay ope'!L48&gt;0,IF('Gainsay economics · Gainsay ope'!L48="","",'Gainsay economics · Gainsay ope'!L48&gt;0))</f>
        <v>1</v>
      </c>
    </row>
    <row r="1061" customFormat="false" ht="18" hidden="false" customHeight="false" outlineLevel="0" collapsed="false">
      <c r="A1061" s="27" t="s">
        <v>438</v>
      </c>
      <c r="B1061" s="0" t="b">
        <f aca="false">IF(ISERROR('Gainsay economics · Gainsay ope'!M48&gt;0),'Gainsay economics · Gainsay ope'!M48&gt;0,IF('Gainsay economics · Gainsay ope'!M48="","",'Gainsay economics · Gainsay ope'!M48&gt;0))</f>
        <v>1</v>
      </c>
    </row>
    <row r="1062" customFormat="false" ht="18" hidden="false" customHeight="false" outlineLevel="0" collapsed="false">
      <c r="A1062" s="27" t="s">
        <v>438</v>
      </c>
      <c r="B1062" s="0" t="b">
        <f aca="false">IF(ISERROR('Gainsay economics · Gainsay ope'!N48&gt;0),'Gainsay economics · Gainsay ope'!N48&gt;0,IF('Gainsay economics · Gainsay ope'!N48="","",'Gainsay economics · Gainsay ope'!N48&gt;0))</f>
        <v>1</v>
      </c>
    </row>
    <row r="1063" customFormat="false" ht="18" hidden="false" customHeight="false" outlineLevel="0" collapsed="false">
      <c r="A1063" s="27" t="s">
        <v>438</v>
      </c>
      <c r="B1063" s="0" t="b">
        <f aca="false">IF(ISERROR('Gainsay economics · Gainsay ope'!O48&gt;0),'Gainsay economics · Gainsay ope'!O48&gt;0,IF('Gainsay economics · Gainsay ope'!O48="","",'Gainsay economics · Gainsay ope'!O48&gt;0))</f>
        <v>1</v>
      </c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2026-10-12T07:31:58Z</dcterms:created>
  <dc:creator>openpyxl</dc:creator>
  <dc:description/>
  <dc:language>en-US</dc:language>
  <cp:lastModifiedBy/>
  <dcterms:modified xsi:type="dcterms:W3CDTF">2026-10-12T07:31:58Z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
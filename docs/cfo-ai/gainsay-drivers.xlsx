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Gainsay fixed assumptions" sheetId="1" r:id="rId1"/>
    <sheet name="Gainsay demand assumptions" sheetId="2" r:id="rId2"/>
    <sheet name="Gainsay pricing economics" sheetId="3" r:id="rId3"/>
    <sheet name="Gainsay data-fee tests" sheetId="4" r:id="rId4"/>
  </sheets>
  <calcPr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#,##0.000;(#,##0.000)"/>
    <numFmt numFmtId="165" formatCode="#,##0.00;(#,##0.00)"/>
    <numFmt numFmtId="166" formatCode="0.00%"/>
    <numFmt numFmtId="167" formatCode="&quot;$&quot;#,##0.00;(&quot;$&quot;#,##0.00)"/>
    <numFmt numFmtId="168" formatCode="&quot;$&quot;#,##0;(&quot;$&quot;#,##0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6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8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2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Gainsay fixed assumptions</t>
        </is>
      </c>
    </row>
    <row r="2" ht="20" customHeight="1">
      <c r="A2" t="inlineStr" s="2">
        <is>
          <t xml:space="preserve">Gainsay drivers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Claude cost per citation</t>
        </is>
      </c>
      <c r="B5" s="6">
        <f>0.026</f>
        <v>0.026</v>
      </c>
    </row>
    <row r="6">
      <c r="A6" t="inlineStr" s="7">
        <is>
          <t xml:space="preserve">Docket monthly price</t>
        </is>
      </c>
      <c r="B6" s="8">
        <f>29</f>
        <v>29</v>
      </c>
    </row>
    <row r="7">
      <c r="A7" t="inlineStr" s="7">
        <is>
          <t xml:space="preserve">Brief price</t>
        </is>
      </c>
      <c r="B7" s="8">
        <f>9</f>
        <v>9</v>
      </c>
    </row>
    <row r="8">
      <c r="A8" t="inlineStr" s="7">
        <is>
          <t xml:space="preserve">New filings per docket</t>
        </is>
      </c>
      <c r="B8" s="8">
        <f>2</f>
        <v>2</v>
      </c>
    </row>
    <row r="9">
      <c r="A9" t="inlineStr" s="7">
        <is>
          <t xml:space="preserve">Citations per paid filing</t>
        </is>
      </c>
      <c r="B9" s="8">
        <f>35</f>
        <v>35</v>
      </c>
    </row>
    <row r="10">
      <c r="A10" t="inlineStr" s="7">
        <is>
          <t xml:space="preserve">Citations per free check</t>
        </is>
      </c>
      <c r="B10" s="8">
        <f>30</f>
        <v>30</v>
      </c>
    </row>
    <row r="11">
      <c r="A11" t="inlineStr" s="7">
        <is>
          <t xml:space="preserve">Global free checks per month</t>
        </is>
      </c>
      <c r="B11" s="8">
        <f>20</f>
        <v>20</v>
      </c>
    </row>
    <row r="12">
      <c r="A12" t="inlineStr" s="7">
        <is>
          <t xml:space="preserve">API calls per citation</t>
        </is>
      </c>
      <c r="B12" s="8">
        <f>2</f>
        <v>2</v>
      </c>
    </row>
    <row r="13">
      <c r="A13" t="inlineStr" s="7">
        <is>
          <t xml:space="preserve">Daily default API quota</t>
        </is>
      </c>
      <c r="B13" s="8">
        <f>125</f>
        <v>125</v>
      </c>
    </row>
    <row r="14">
      <c r="A14" t="inlineStr" s="7">
        <is>
          <t xml:space="preserve">Poll calls per docket per day</t>
        </is>
      </c>
      <c r="B14" s="8">
        <f>1</f>
        <v>1</v>
      </c>
    </row>
    <row r="15">
      <c r="A15" t="inlineStr" s="7">
        <is>
          <t xml:space="preserve">Hosting per month</t>
        </is>
      </c>
      <c r="B15" s="8">
        <f>15</f>
        <v>15</v>
      </c>
    </row>
    <row r="16">
      <c r="A16" t="inlineStr" s="7">
        <is>
          <t xml:space="preserve">Tools per month</t>
        </is>
      </c>
      <c r="B16" s="8">
        <f>30</f>
        <v>30</v>
      </c>
    </row>
    <row r="17">
      <c r="A17" t="inlineStr" s="7">
        <is>
          <t xml:space="preserve">Legal and insurance reserve per month</t>
        </is>
      </c>
      <c r="B17" s="8">
        <f>100</f>
        <v>100</v>
      </c>
    </row>
    <row r="18">
      <c r="A18" t="inlineStr" s="7">
        <is>
          <t xml:space="preserve">Marketing per month</t>
        </is>
      </c>
      <c r="B18" s="8">
        <f>100</f>
        <v>100</v>
      </c>
    </row>
    <row r="19">
      <c r="A19" t="inlineStr" s="7">
        <is>
          <t xml:space="preserve">Founder draw per month</t>
        </is>
      </c>
      <c r="B19" s="8">
        <f>500</f>
        <v>500</v>
      </c>
    </row>
    <row r="20">
      <c r="A20" t="inlineStr" s="7">
        <is>
          <t xml:space="preserve">Annual data fee placeholder</t>
        </is>
      </c>
      <c r="B20" s="8">
        <f>3000</f>
        <v>3000</v>
      </c>
    </row>
    <row r="21">
      <c r="A21" t="inlineStr" s="7">
        <is>
          <t xml:space="preserve">Opening cash placeholder</t>
        </is>
      </c>
      <c r="B21" s="8">
        <f>5000</f>
        <v>5000</v>
      </c>
    </row>
    <row r="22">
      <c r="A22" t="inlineStr" s="7">
        <is>
          <t xml:space="preserve">Launch cost</t>
        </is>
      </c>
      <c r="B22" s="8">
        <f>500</f>
        <v>500</v>
      </c>
    </row>
    <row r="23">
      <c r="A23" t="inlineStr" s="7">
        <is>
          <t xml:space="preserve">Payment percentage</t>
        </is>
      </c>
      <c r="B23" s="9">
        <f>0.029</f>
        <v>0.029</v>
      </c>
    </row>
    <row r="24">
      <c r="A24" t="inlineStr" s="7">
        <is>
          <t xml:space="preserve">Payment fee per transaction</t>
        </is>
      </c>
      <c r="B24" s="8">
        <f>0.3</f>
        <v>0.3</v>
      </c>
    </row>
    <row r="25">
      <c r="A25" t="inlineStr" s="7">
        <is>
          <t xml:space="preserve">Human review minutes per filing</t>
        </is>
      </c>
      <c r="B25" s="8">
        <f>3</f>
        <v>3</v>
      </c>
    </row>
    <row r="26">
      <c r="A26" t="inlineStr" s="7">
        <is>
          <t xml:space="preserve">Founder review hours per month</t>
        </is>
      </c>
      <c r="B26" s="8">
        <f>60</f>
        <v>60</v>
      </c>
    </row>
    <row r="27">
      <c r="A27" t="inlineStr" s="7">
        <is>
          <t xml:space="preserve">Contractor docket trigger</t>
        </is>
      </c>
      <c r="B27" s="8">
        <f>50</f>
        <v>50</v>
      </c>
    </row>
    <row r="28">
      <c r="A28" t="inlineStr" s="5">
        <is>
          <t xml:space="preserve">Contractor per month</t>
        </is>
      </c>
      <c r="B28" s="10">
        <f>400</f>
        <v>400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P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Gainsay demand assumptions</t>
        </is>
      </c>
    </row>
    <row r="2" ht="20" customHeight="1">
      <c r="A2" t="inlineStr" s="2">
        <is>
          <t xml:space="preserve">Gainsay drivers · Main Scenario</t>
        </is>
      </c>
    </row>
    <row r="4" ht="22" customHeight="1">
      <c r="A4" t="inlineStr" s="3">
        <is>
          <t xml:space="preserve">Variable / dimension</t>
        </is>
      </c>
      <c r="B4" t="inlineStr" s="11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1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1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1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  <c r="N4" t="inlineStr" s="11">
        <is>
          <t xml:space="preserve">2027-10</t>
        </is>
      </c>
      <c r="O4" t="inlineStr" s="4">
        <is>
          <t xml:space="preserve">2027-11</t>
        </is>
      </c>
      <c r="P4" t="inlineStr" s="4">
        <is>
          <t xml:space="preserve">2027-12</t>
        </is>
      </c>
    </row>
    <row r="5">
      <c r="A5" t="inlineStr" s="5">
        <is>
          <t xml:space="preserve">New dockets per month</t>
        </is>
      </c>
      <c r="B5" s="10">
        <f>3</f>
        <v>3</v>
      </c>
      <c r="C5" s="10">
        <f>'Gainsay demand assumptions'!B5*(1+'Gainsay demand assumptions'!C6)</f>
        <v>3.1500000000000004</v>
      </c>
      <c r="D5" s="10">
        <f>'Gainsay demand assumptions'!C5*(1+'Gainsay demand assumptions'!D6)</f>
        <v>3.3075000000000006</v>
      </c>
      <c r="E5" s="10">
        <f>'Gainsay demand assumptions'!D5*(1+'Gainsay demand assumptions'!E6)</f>
        <v>3.4728750000000006</v>
      </c>
      <c r="F5" s="10">
        <f>'Gainsay demand assumptions'!E5*(1+'Gainsay demand assumptions'!F6)</f>
        <v>3.6465187500000007</v>
      </c>
      <c r="G5" s="10">
        <f>'Gainsay demand assumptions'!F5*(1+'Gainsay demand assumptions'!G6)</f>
        <v>3.828844687500001</v>
      </c>
      <c r="H5" s="10">
        <f>'Gainsay demand assumptions'!G5*(1+'Gainsay demand assumptions'!H6)</f>
        <v>4.020286921875002</v>
      </c>
      <c r="I5" s="10">
        <f>'Gainsay demand assumptions'!H5*(1+'Gainsay demand assumptions'!I6)</f>
        <v>4.221301267968752</v>
      </c>
      <c r="J5" s="10">
        <f>'Gainsay demand assumptions'!I5*(1+'Gainsay demand assumptions'!J6)</f>
        <v>4.43236633136719</v>
      </c>
      <c r="K5" s="10">
        <f>'Gainsay demand assumptions'!J5*(1+'Gainsay demand assumptions'!K6)</f>
        <v>4.653984647935549</v>
      </c>
      <c r="L5" s="10">
        <f>'Gainsay demand assumptions'!K5*(1+'Gainsay demand assumptions'!L6)</f>
        <v>4.886683880332327</v>
      </c>
      <c r="M5" s="10">
        <f>'Gainsay demand assumptions'!L5*(1+'Gainsay demand assumptions'!M6)</f>
        <v>5.131018074348943</v>
      </c>
      <c r="N5" s="10">
        <f>'Gainsay demand assumptions'!M5*(1+'Gainsay demand assumptions'!N6)</f>
        <v>5.3875689780663905</v>
      </c>
      <c r="O5" s="10">
        <f>'Gainsay demand assumptions'!N5*(1+'Gainsay demand assumptions'!O6)</f>
        <v>5.65694742696971</v>
      </c>
      <c r="P5" s="10">
        <f>'Gainsay demand assumptions'!O5*(1+'Gainsay demand assumptions'!P6)</f>
        <v>5.939794798318196</v>
      </c>
    </row>
    <row r="6">
      <c r="A6" t="inlineStr" s="7">
        <is>
          <t xml:space="preserve">Monthly acquisition growth</t>
        </is>
      </c>
      <c r="B6" s="9">
        <f>0.05</f>
        <v>0.05</v>
      </c>
      <c r="C6" s="9">
        <f>IF('Gainsay demand assumptions'!B6="","",'Gainsay demand assumptions'!B6)</f>
        <v>0.05</v>
      </c>
      <c r="D6" s="9">
        <f>IF('Gainsay demand assumptions'!C6="","",'Gainsay demand assumptions'!C6)</f>
        <v>0.05</v>
      </c>
      <c r="E6" s="9">
        <f>IF('Gainsay demand assumptions'!D6="","",'Gainsay demand assumptions'!D6)</f>
        <v>0.05</v>
      </c>
      <c r="F6" s="9">
        <f>IF('Gainsay demand assumptions'!E6="","",'Gainsay demand assumptions'!E6)</f>
        <v>0.05</v>
      </c>
      <c r="G6" s="9">
        <f>IF('Gainsay demand assumptions'!F6="","",'Gainsay demand assumptions'!F6)</f>
        <v>0.05</v>
      </c>
      <c r="H6" s="9">
        <f>IF('Gainsay demand assumptions'!G6="","",'Gainsay demand assumptions'!G6)</f>
        <v>0.05</v>
      </c>
      <c r="I6" s="9">
        <f>IF('Gainsay demand assumptions'!H6="","",'Gainsay demand assumptions'!H6)</f>
        <v>0.05</v>
      </c>
      <c r="J6" s="9">
        <f>IF('Gainsay demand assumptions'!I6="","",'Gainsay demand assumptions'!I6)</f>
        <v>0.05</v>
      </c>
      <c r="K6" s="9">
        <f>IF('Gainsay demand assumptions'!J6="","",'Gainsay demand assumptions'!J6)</f>
        <v>0.05</v>
      </c>
      <c r="L6" s="9">
        <f>IF('Gainsay demand assumptions'!K6="","",'Gainsay demand assumptions'!K6)</f>
        <v>0.05</v>
      </c>
      <c r="M6" s="9">
        <f>IF('Gainsay demand assumptions'!L6="","",'Gainsay demand assumptions'!L6)</f>
        <v>0.05</v>
      </c>
      <c r="N6" s="9">
        <f>IF('Gainsay demand assumptions'!M6="","",'Gainsay demand assumptions'!M6)</f>
        <v>0.05</v>
      </c>
      <c r="O6" s="9">
        <f>IF('Gainsay demand assumptions'!N6="","",'Gainsay demand assumptions'!N6)</f>
        <v>0.05</v>
      </c>
      <c r="P6" s="9">
        <f>IF('Gainsay demand assumptions'!O6="","",'Gainsay demand assumptions'!O6)</f>
        <v>0.05</v>
      </c>
    </row>
    <row r="7">
      <c r="A7" t="inlineStr" s="7">
        <is>
          <t xml:space="preserve">Monthly docket churn</t>
        </is>
      </c>
      <c r="B7" s="9">
        <f>0.03</f>
        <v>0.03</v>
      </c>
      <c r="C7" s="9">
        <f>IF('Gainsay demand assumptions'!B7="","",'Gainsay demand assumptions'!B7)</f>
        <v>0.03</v>
      </c>
      <c r="D7" s="9">
        <f>IF('Gainsay demand assumptions'!C7="","",'Gainsay demand assumptions'!C7)</f>
        <v>0.03</v>
      </c>
      <c r="E7" s="9">
        <f>IF('Gainsay demand assumptions'!D7="","",'Gainsay demand assumptions'!D7)</f>
        <v>0.03</v>
      </c>
      <c r="F7" s="9">
        <f>IF('Gainsay demand assumptions'!E7="","",'Gainsay demand assumptions'!E7)</f>
        <v>0.03</v>
      </c>
      <c r="G7" s="9">
        <f>IF('Gainsay demand assumptions'!F7="","",'Gainsay demand assumptions'!F7)</f>
        <v>0.03</v>
      </c>
      <c r="H7" s="9">
        <f>IF('Gainsay demand assumptions'!G7="","",'Gainsay demand assumptions'!G7)</f>
        <v>0.03</v>
      </c>
      <c r="I7" s="9">
        <f>IF('Gainsay demand assumptions'!H7="","",'Gainsay demand assumptions'!H7)</f>
        <v>0.03</v>
      </c>
      <c r="J7" s="9">
        <f>IF('Gainsay demand assumptions'!I7="","",'Gainsay demand assumptions'!I7)</f>
        <v>0.03</v>
      </c>
      <c r="K7" s="9">
        <f>IF('Gainsay demand assumptions'!J7="","",'Gainsay demand assumptions'!J7)</f>
        <v>0.03</v>
      </c>
      <c r="L7" s="9">
        <f>IF('Gainsay demand assumptions'!K7="","",'Gainsay demand assumptions'!K7)</f>
        <v>0.03</v>
      </c>
      <c r="M7" s="9">
        <f>IF('Gainsay demand assumptions'!L7="","",'Gainsay demand assumptions'!L7)</f>
        <v>0.03</v>
      </c>
      <c r="N7" s="9">
        <f>IF('Gainsay demand assumptions'!M7="","",'Gainsay demand assumptions'!M7)</f>
        <v>0.03</v>
      </c>
      <c r="O7" s="9">
        <f>IF('Gainsay demand assumptions'!N7="","",'Gainsay demand assumptions'!N7)</f>
        <v>0.03</v>
      </c>
      <c r="P7" s="9">
        <f>IF('Gainsay demand assumptions'!O7="","",'Gainsay demand assumptions'!O7)</f>
        <v>0.03</v>
      </c>
    </row>
    <row r="8">
      <c r="A8" t="inlineStr" s="7">
        <is>
          <t xml:space="preserve">Brief checks sold</t>
        </is>
      </c>
      <c r="B8" s="8">
        <f>10</f>
        <v>10</v>
      </c>
      <c r="C8" s="8">
        <f>'Gainsay demand assumptions'!B8*(1+'Gainsay demand assumptions'!C9)</f>
        <v>10.5</v>
      </c>
      <c r="D8" s="8">
        <f>'Gainsay demand assumptions'!C8*(1+'Gainsay demand assumptions'!D9)</f>
        <v>11.025</v>
      </c>
      <c r="E8" s="8">
        <f>'Gainsay demand assumptions'!D8*(1+'Gainsay demand assumptions'!E9)</f>
        <v>11.576250000000002</v>
      </c>
      <c r="F8" s="8">
        <f>'Gainsay demand assumptions'!E8*(1+'Gainsay demand assumptions'!F9)</f>
        <v>12.155062500000001</v>
      </c>
      <c r="G8" s="8">
        <f>'Gainsay demand assumptions'!F8*(1+'Gainsay demand assumptions'!G9)</f>
        <v>12.762815625000002</v>
      </c>
      <c r="H8" s="8">
        <f>'Gainsay demand assumptions'!G8*(1+'Gainsay demand assumptions'!H9)</f>
        <v>13.400956406250003</v>
      </c>
      <c r="I8" s="8">
        <f>'Gainsay demand assumptions'!H8*(1+'Gainsay demand assumptions'!I9)</f>
        <v>14.071004226562504</v>
      </c>
      <c r="J8" s="8">
        <f>'Gainsay demand assumptions'!I8*(1+'Gainsay demand assumptions'!J9)</f>
        <v>14.77455443789063</v>
      </c>
      <c r="K8" s="8">
        <f>'Gainsay demand assumptions'!J8*(1+'Gainsay demand assumptions'!K9)</f>
        <v>15.513282159785163</v>
      </c>
      <c r="L8" s="8">
        <f>'Gainsay demand assumptions'!K8*(1+'Gainsay demand assumptions'!L9)</f>
        <v>16.28894626777442</v>
      </c>
      <c r="M8" s="8">
        <f>'Gainsay demand assumptions'!L8*(1+'Gainsay demand assumptions'!M9)</f>
        <v>17.103393581163143</v>
      </c>
      <c r="N8" s="8">
        <f>'Gainsay demand assumptions'!M8*(1+'Gainsay demand assumptions'!N9)</f>
        <v>17.9585632602213</v>
      </c>
      <c r="O8" s="8">
        <f>'Gainsay demand assumptions'!N8*(1+'Gainsay demand assumptions'!O9)</f>
        <v>18.856491423232367</v>
      </c>
      <c r="P8" s="8">
        <f>'Gainsay demand assumptions'!O8*(1+'Gainsay demand assumptions'!P9)</f>
        <v>19.799315994393986</v>
      </c>
    </row>
    <row r="9">
      <c r="A9" t="inlineStr" s="5">
        <is>
          <t xml:space="preserve">Monthly brief demand growth</t>
        </is>
      </c>
      <c r="B9" s="12">
        <f>0.05</f>
        <v>0.05</v>
      </c>
      <c r="C9" s="12">
        <f>IF('Gainsay demand assumptions'!B9="","",'Gainsay demand assumptions'!B9)</f>
        <v>0.05</v>
      </c>
      <c r="D9" s="12">
        <f>IF('Gainsay demand assumptions'!C9="","",'Gainsay demand assumptions'!C9)</f>
        <v>0.05</v>
      </c>
      <c r="E9" s="12">
        <f>IF('Gainsay demand assumptions'!D9="","",'Gainsay demand assumptions'!D9)</f>
        <v>0.05</v>
      </c>
      <c r="F9" s="12">
        <f>IF('Gainsay demand assumptions'!E9="","",'Gainsay demand assumptions'!E9)</f>
        <v>0.05</v>
      </c>
      <c r="G9" s="12">
        <f>IF('Gainsay demand assumptions'!F9="","",'Gainsay demand assumptions'!F9)</f>
        <v>0.05</v>
      </c>
      <c r="H9" s="12">
        <f>IF('Gainsay demand assumptions'!G9="","",'Gainsay demand assumptions'!G9)</f>
        <v>0.05</v>
      </c>
      <c r="I9" s="12">
        <f>IF('Gainsay demand assumptions'!H9="","",'Gainsay demand assumptions'!H9)</f>
        <v>0.05</v>
      </c>
      <c r="J9" s="12">
        <f>IF('Gainsay demand assumptions'!I9="","",'Gainsay demand assumptions'!I9)</f>
        <v>0.05</v>
      </c>
      <c r="K9" s="12">
        <f>IF('Gainsay demand assumptions'!J9="","",'Gainsay demand assumptions'!J9)</f>
        <v>0.05</v>
      </c>
      <c r="L9" s="12">
        <f>IF('Gainsay demand assumptions'!K9="","",'Gainsay demand assumptions'!K9)</f>
        <v>0.05</v>
      </c>
      <c r="M9" s="12">
        <f>IF('Gainsay demand assumptions'!L9="","",'Gainsay demand assumptions'!L9)</f>
        <v>0.05</v>
      </c>
      <c r="N9" s="12">
        <f>IF('Gainsay demand assumptions'!M9="","",'Gainsay demand assumptions'!M9)</f>
        <v>0.05</v>
      </c>
      <c r="O9" s="12">
        <f>IF('Gainsay demand assumptions'!N9="","",'Gainsay demand assumptions'!N9)</f>
        <v>0.05</v>
      </c>
      <c r="P9" s="12">
        <f>IF('Gainsay demand assumptions'!O9="","",'Gainsay demand assumptions'!O9)</f>
        <v>0.05</v>
      </c>
    </row>
  </sheetData>
  <mergeCells count="1">
    <mergeCell ref="A1:P1"/>
  </mergeCells>
</worksheet>
</file>

<file path=xl/worksheets/sheet3.xml><?xml version="1.0" encoding="utf-8"?>
<worksheet xmlns="http://schemas.openxmlformats.org/spreadsheetml/2006/main">
  <dimension ref="A1:B1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Gainsay pricing economics</t>
        </is>
      </c>
    </row>
    <row r="2" ht="20" customHeight="1">
      <c r="A2" t="inlineStr" s="2">
        <is>
          <t xml:space="preserve">Gainsay drivers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AI cost per average filing</t>
        </is>
      </c>
      <c r="B5" s="13">
        <f>'Gainsay fixed assumptions'!B5*'Gainsay fixed assumptions'!B9</f>
        <v>0.9099999999999999</v>
      </c>
    </row>
    <row r="6">
      <c r="A6" t="inlineStr" s="7">
        <is>
          <t xml:space="preserve">AI cost at 15 citations</t>
        </is>
      </c>
      <c r="B6" s="14">
        <f>'Gainsay fixed assumptions'!B5*15</f>
        <v>0.38999999999999996</v>
      </c>
    </row>
    <row r="7">
      <c r="A7" t="inlineStr" s="7">
        <is>
          <t xml:space="preserve">AI cost at 50 citations</t>
        </is>
      </c>
      <c r="B7" s="14">
        <f>'Gainsay fixed assumptions'!B5*50</f>
        <v>1.3</v>
      </c>
    </row>
    <row r="8">
      <c r="A8" t="inlineStr" s="7">
        <is>
          <t xml:space="preserve">Docket contribution per month</t>
        </is>
      </c>
      <c r="B8" s="14">
        <f>'Gainsay fixed assumptions'!B6*(1-'Gainsay fixed assumptions'!B23)-'Gainsay fixed assumptions'!B24-'Gainsay fixed assumptions'!B8*'Gainsay pricing economics'!B5</f>
        <v>26.038999999999998</v>
      </c>
    </row>
    <row r="9">
      <c r="A9" t="inlineStr" s="7">
        <is>
          <t xml:space="preserve">Brief contribution</t>
        </is>
      </c>
      <c r="B9" s="14">
        <f>'Gainsay fixed assumptions'!B7*(1-'Gainsay fixed assumptions'!B23)-'Gainsay fixed assumptions'!B24-'Gainsay pricing economics'!B5</f>
        <v>7.528999999999998</v>
      </c>
    </row>
    <row r="10">
      <c r="A10" t="inlineStr" s="7">
        <is>
          <t xml:space="preserve">Fixed monthly cash budget</t>
        </is>
      </c>
      <c r="B10" s="14">
        <f>'Gainsay fixed assumptions'!B15+'Gainsay fixed assumptions'!B16+'Gainsay fixed assumptions'!B17+'Gainsay fixed assumptions'!B18+'Gainsay fixed assumptions'!B20/12+'Gainsay fixed assumptions'!B19+'Gainsay fixed assumptions'!B11*'Gainsay fixed assumptions'!B10*'Gainsay fixed assumptions'!B5</f>
        <v>1010.6</v>
      </c>
    </row>
    <row r="11">
      <c r="A11" t="inlineStr" s="5">
        <is>
          <t xml:space="preserve">Dockets needed for fixed cash budget</t>
        </is>
      </c>
      <c r="B11" s="10">
        <f>CEILING('Gainsay pricing economics'!B10/'Gainsay pricing economics'!B8,1)</f>
        <v>39</v>
      </c>
    </row>
  </sheetData>
  <mergeCells count="1">
    <mergeCell ref="A1:B1"/>
  </mergeCells>
</worksheet>
</file>

<file path=xl/worksheets/sheet4.xml><?xml version="1.0" encoding="utf-8"?>
<worksheet xmlns="http://schemas.openxmlformats.org/spreadsheetml/2006/main">
  <dimension ref="A1:B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Gainsay data-fee tests</t>
        </is>
      </c>
    </row>
    <row r="2" ht="20" customHeight="1">
      <c r="A2" t="inlineStr" s="2">
        <is>
          <t xml:space="preserve">Gainsay drivers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Test annual data fee</t>
        </is>
      </c>
    </row>
    <row r="5">
      <c r="A5" t="inlineStr" s="5">
        <is>
          <t xml:space="preserve">High fee stress</t>
        </is>
      </c>
      <c r="B5" s="15">
        <f>10000</f>
        <v>10000</v>
      </c>
    </row>
    <row r="6">
      <c r="A6" t="inlineStr" s="7">
        <is>
          <t xml:space="preserve">Illustrative fee</t>
        </is>
      </c>
      <c r="B6" s="16">
        <f>3000</f>
        <v>3000</v>
      </c>
    </row>
    <row r="7">
      <c r="A7" t="inlineStr" s="5">
        <is>
          <t xml:space="preserve">No fee sensitivity only</t>
        </is>
      </c>
      <c r="B7" s="15">
        <f>0</f>
        <v>0</v>
      </c>
    </row>
  </sheetData>
  <mergeCells count="1">
    <mergeCell ref="A1:B1"/>
  </mergeCells>
</worksheet>
</file>